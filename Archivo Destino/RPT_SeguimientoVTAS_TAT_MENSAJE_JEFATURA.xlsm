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valos\Documents\Template\ReporteSegumientoVentas\"/>
    </mc:Choice>
  </mc:AlternateContent>
  <bookViews>
    <workbookView xWindow="0" yWindow="0" windowWidth="19170" windowHeight="1850" tabRatio="717"/>
  </bookViews>
  <sheets>
    <sheet name="DetalleArticulos" sheetId="1" r:id="rId1"/>
    <sheet name="ReporteGeneral" sheetId="15" r:id="rId2"/>
    <sheet name="DetalleVendedores" sheetId="7" r:id="rId3"/>
    <sheet name="DetalleMarca" sheetId="14" r:id="rId4"/>
    <sheet name="TipoDocumento" sheetId="11" r:id="rId5"/>
    <sheet name="EstructuraTAT" sheetId="9" r:id="rId6"/>
    <sheet name="Contenido" sheetId="5" r:id="rId7"/>
    <sheet name="GrupoArticulo" sheetId="2" r:id="rId8"/>
    <sheet name="Vendedores" sheetId="6" r:id="rId9"/>
    <sheet name="Fechas" sheetId="4" r:id="rId10"/>
  </sheets>
  <definedNames>
    <definedName name="_xlnm._FilterDatabase" localSheetId="7" hidden="1">GrupoArticulo!$L$9:$L$20</definedName>
    <definedName name="_xlnm._FilterDatabase" localSheetId="1" hidden="1">ReporteGeneral!#REF!</definedName>
    <definedName name="_xlnm._FilterDatabase" localSheetId="8" hidden="1">Vendedores!$O$7:$O$22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C2" i="1"/>
  <c r="D10" i="2" l="1"/>
  <c r="B2" i="1"/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" i="5"/>
  <c r="C2" i="5"/>
  <c r="A2" i="4" l="1"/>
  <c r="I2" i="4" s="1"/>
  <c r="B2" i="4" l="1"/>
  <c r="C2" i="4"/>
  <c r="E2" i="4" l="1"/>
  <c r="D2" i="4"/>
  <c r="F2" i="4" l="1"/>
  <c r="G2" i="4"/>
  <c r="H2" i="4" l="1"/>
  <c r="I33" i="2"/>
  <c r="H33" i="2"/>
  <c r="G33" i="2"/>
  <c r="E33" i="2"/>
  <c r="F33" i="2" s="1"/>
  <c r="D33" i="2"/>
  <c r="I32" i="2"/>
  <c r="H32" i="2"/>
  <c r="G32" i="2"/>
  <c r="E32" i="2"/>
  <c r="D32" i="2"/>
  <c r="I31" i="2"/>
  <c r="H31" i="2"/>
  <c r="G31" i="2"/>
  <c r="E31" i="2"/>
  <c r="D31" i="2"/>
  <c r="L20" i="2"/>
  <c r="L14" i="2"/>
  <c r="F31" i="2" l="1"/>
  <c r="F32" i="2"/>
  <c r="J26" i="2" l="1"/>
  <c r="J27" i="2"/>
  <c r="J25" i="2"/>
  <c r="I26" i="2"/>
  <c r="I27" i="2"/>
  <c r="I25" i="2"/>
  <c r="H26" i="2"/>
  <c r="H27" i="2"/>
  <c r="H25" i="2"/>
  <c r="G26" i="2"/>
  <c r="G27" i="2"/>
  <c r="G25" i="2"/>
  <c r="E26" i="2"/>
  <c r="E27" i="2"/>
  <c r="E25" i="2"/>
  <c r="D26" i="2"/>
  <c r="D27" i="2"/>
  <c r="D25" i="2"/>
  <c r="F27" i="2" l="1"/>
  <c r="F26" i="2"/>
  <c r="F25" i="2" l="1"/>
  <c r="J16" i="2"/>
  <c r="J17" i="2"/>
  <c r="J18" i="2"/>
  <c r="I16" i="2"/>
  <c r="I17" i="2"/>
  <c r="I18" i="2"/>
  <c r="H16" i="2"/>
  <c r="H17" i="2"/>
  <c r="H18" i="2"/>
  <c r="G16" i="2"/>
  <c r="G17" i="2"/>
  <c r="G18" i="2"/>
  <c r="E16" i="2"/>
  <c r="E17" i="2"/>
  <c r="E18" i="2"/>
  <c r="D16" i="2"/>
  <c r="D17" i="2"/>
  <c r="D18" i="2"/>
  <c r="L17" i="2" l="1"/>
  <c r="L16" i="2"/>
  <c r="L18" i="2"/>
  <c r="F16" i="2"/>
  <c r="F18" i="2"/>
  <c r="F17" i="2"/>
  <c r="J11" i="2" l="1"/>
  <c r="J12" i="2"/>
  <c r="J13" i="2"/>
  <c r="J15" i="2"/>
  <c r="J19" i="2"/>
  <c r="J10" i="2"/>
  <c r="G11" i="2" l="1"/>
  <c r="G12" i="2"/>
  <c r="G13" i="2"/>
  <c r="G15" i="2"/>
  <c r="G19" i="2"/>
  <c r="G10" i="2"/>
  <c r="D9" i="6" l="1"/>
  <c r="D10" i="6"/>
  <c r="M10" i="6" s="1"/>
  <c r="D11" i="6"/>
  <c r="D12" i="6"/>
  <c r="D13" i="6"/>
  <c r="M13" i="6" s="1"/>
  <c r="D14" i="6"/>
  <c r="D15" i="6"/>
  <c r="D16" i="6"/>
  <c r="D17" i="6"/>
  <c r="M17" i="6" s="1"/>
  <c r="D18" i="6"/>
  <c r="M18" i="6" s="1"/>
  <c r="D19" i="6"/>
  <c r="M19" i="6" s="1"/>
  <c r="D20" i="6"/>
  <c r="D21" i="6"/>
  <c r="D22" i="6"/>
  <c r="D8" i="6"/>
  <c r="L9" i="6" l="1"/>
  <c r="M9" i="6"/>
  <c r="L15" i="6"/>
  <c r="M15" i="6"/>
  <c r="L22" i="6"/>
  <c r="M22" i="6"/>
  <c r="L14" i="6"/>
  <c r="M14" i="6"/>
  <c r="L16" i="6"/>
  <c r="M16" i="6"/>
  <c r="L21" i="6"/>
  <c r="M21" i="6"/>
  <c r="L20" i="6"/>
  <c r="M20" i="6"/>
  <c r="L12" i="6"/>
  <c r="M12" i="6"/>
  <c r="L11" i="6"/>
  <c r="M11" i="6"/>
  <c r="L8" i="6"/>
  <c r="M8" i="6"/>
  <c r="H17" i="6"/>
  <c r="L17" i="6"/>
  <c r="H13" i="6"/>
  <c r="L13" i="6"/>
  <c r="J19" i="6"/>
  <c r="L19" i="6"/>
  <c r="E18" i="6"/>
  <c r="L18" i="6"/>
  <c r="H10" i="6"/>
  <c r="L10" i="6"/>
  <c r="K8" i="6"/>
  <c r="E22" i="6"/>
  <c r="H22" i="6"/>
  <c r="J20" i="6"/>
  <c r="H20" i="6"/>
  <c r="K12" i="6"/>
  <c r="H12" i="6"/>
  <c r="E13" i="6"/>
  <c r="F21" i="6"/>
  <c r="H21" i="6"/>
  <c r="I19" i="6"/>
  <c r="H19" i="6"/>
  <c r="J11" i="6"/>
  <c r="H11" i="6"/>
  <c r="I18" i="6"/>
  <c r="E12" i="6"/>
  <c r="K11" i="6"/>
  <c r="E9" i="6"/>
  <c r="H9" i="6"/>
  <c r="F17" i="6"/>
  <c r="I11" i="6"/>
  <c r="K16" i="6"/>
  <c r="H16" i="6"/>
  <c r="K21" i="6"/>
  <c r="E17" i="6"/>
  <c r="J10" i="6"/>
  <c r="F18" i="6"/>
  <c r="H18" i="6"/>
  <c r="I8" i="6"/>
  <c r="H8" i="6"/>
  <c r="I15" i="6"/>
  <c r="H15" i="6"/>
  <c r="E21" i="6"/>
  <c r="J16" i="6"/>
  <c r="I10" i="6"/>
  <c r="F14" i="6"/>
  <c r="H14" i="6"/>
  <c r="K20" i="6"/>
  <c r="I14" i="6"/>
  <c r="F10" i="6"/>
  <c r="K19" i="6"/>
  <c r="F13" i="6"/>
  <c r="F9" i="6"/>
  <c r="J12" i="6"/>
  <c r="J21" i="6"/>
  <c r="F19" i="6"/>
  <c r="K17" i="6"/>
  <c r="I16" i="6"/>
  <c r="F15" i="6"/>
  <c r="K13" i="6"/>
  <c r="I12" i="6"/>
  <c r="E10" i="6"/>
  <c r="F8" i="6"/>
  <c r="K15" i="6"/>
  <c r="E14" i="6"/>
  <c r="K22" i="6"/>
  <c r="I21" i="6"/>
  <c r="E19" i="6"/>
  <c r="J17" i="6"/>
  <c r="E15" i="6"/>
  <c r="J13" i="6"/>
  <c r="F11" i="6"/>
  <c r="K9" i="6"/>
  <c r="J8" i="6"/>
  <c r="J22" i="6"/>
  <c r="F20" i="6"/>
  <c r="K18" i="6"/>
  <c r="I17" i="6"/>
  <c r="F16" i="6"/>
  <c r="K14" i="6"/>
  <c r="I13" i="6"/>
  <c r="E11" i="6"/>
  <c r="J9" i="6"/>
  <c r="I20" i="6"/>
  <c r="E8" i="6"/>
  <c r="I22" i="6"/>
  <c r="E20" i="6"/>
  <c r="J18" i="6"/>
  <c r="E16" i="6"/>
  <c r="J14" i="6"/>
  <c r="F12" i="6"/>
  <c r="K10" i="6"/>
  <c r="I9" i="6"/>
  <c r="F22" i="6"/>
  <c r="J15" i="6"/>
  <c r="D11" i="2"/>
  <c r="E11" i="2"/>
  <c r="H11" i="2"/>
  <c r="I11" i="2"/>
  <c r="D12" i="2"/>
  <c r="E12" i="2"/>
  <c r="H12" i="2"/>
  <c r="I12" i="2"/>
  <c r="D13" i="2"/>
  <c r="E13" i="2"/>
  <c r="H13" i="2"/>
  <c r="I13" i="2"/>
  <c r="D15" i="2"/>
  <c r="E15" i="2"/>
  <c r="H15" i="2"/>
  <c r="I15" i="2"/>
  <c r="D19" i="2"/>
  <c r="E19" i="2"/>
  <c r="H19" i="2"/>
  <c r="I19" i="2"/>
  <c r="I10" i="2"/>
  <c r="H10" i="2"/>
  <c r="E10" i="2"/>
  <c r="L19" i="2" l="1"/>
  <c r="L15" i="2"/>
  <c r="H21" i="2"/>
  <c r="G22" i="6"/>
  <c r="G9" i="6"/>
  <c r="G18" i="6"/>
  <c r="L23" i="6"/>
  <c r="G14" i="6"/>
  <c r="L13" i="2"/>
  <c r="G11" i="6"/>
  <c r="G16" i="6"/>
  <c r="G21" i="6"/>
  <c r="G10" i="6"/>
  <c r="G20" i="6"/>
  <c r="G17" i="6"/>
  <c r="G12" i="6"/>
  <c r="G13" i="6"/>
  <c r="L12" i="2"/>
  <c r="F12" i="2"/>
  <c r="F11" i="2"/>
  <c r="F13" i="2"/>
  <c r="L10" i="2"/>
  <c r="F19" i="2"/>
  <c r="F15" i="2"/>
  <c r="L11" i="2"/>
  <c r="G19" i="6"/>
  <c r="G15" i="6"/>
  <c r="O9" i="6" l="1"/>
  <c r="O10" i="6"/>
  <c r="O11" i="6"/>
  <c r="O12" i="6"/>
  <c r="O13" i="6"/>
  <c r="O20" i="6"/>
  <c r="O21" i="6"/>
  <c r="O22" i="6"/>
  <c r="D3" i="6"/>
  <c r="C3" i="2"/>
  <c r="D5" i="6"/>
  <c r="O8" i="6" l="1"/>
  <c r="O15" i="6"/>
  <c r="O14" i="6"/>
  <c r="O16" i="6"/>
  <c r="O19" i="6"/>
  <c r="O18" i="6"/>
  <c r="O17" i="6"/>
  <c r="I23" i="6" l="1"/>
  <c r="E23" i="6"/>
  <c r="J23" i="6"/>
  <c r="K23" i="6"/>
  <c r="F23" i="6"/>
  <c r="M23" i="6" s="1"/>
  <c r="G8" i="6"/>
  <c r="E26" i="6" l="1"/>
  <c r="G23" i="6"/>
  <c r="J2" i="4" l="1"/>
  <c r="L2" i="4"/>
  <c r="C2" i="2" l="1"/>
  <c r="D2" i="6"/>
  <c r="G5" i="6" l="1"/>
  <c r="D5" i="2"/>
  <c r="M2" i="2" s="1"/>
  <c r="E5" i="6"/>
  <c r="F5" i="2"/>
  <c r="M3" i="2" s="1"/>
  <c r="N2" i="2" l="1"/>
  <c r="N3" i="2" s="1"/>
  <c r="H5" i="6"/>
  <c r="H23" i="6"/>
  <c r="C5" i="2"/>
  <c r="F10" i="2" l="1"/>
  <c r="I21" i="2" l="1"/>
  <c r="D21" i="2"/>
  <c r="E21" i="2"/>
  <c r="D37" i="2" l="1"/>
  <c r="G21" i="2"/>
  <c r="J21" i="2"/>
  <c r="F21" i="2"/>
</calcChain>
</file>

<file path=xl/sharedStrings.xml><?xml version="1.0" encoding="utf-8"?>
<sst xmlns="http://schemas.openxmlformats.org/spreadsheetml/2006/main" count="222" uniqueCount="130">
  <si>
    <t>CodigoVendedor</t>
  </si>
  <si>
    <t>GrupoArticulo</t>
  </si>
  <si>
    <t>PptoDolares</t>
  </si>
  <si>
    <t>VtaAcumulada</t>
  </si>
  <si>
    <t>Proyeccion</t>
  </si>
  <si>
    <t>DeberiaEstar</t>
  </si>
  <si>
    <t>GAP</t>
  </si>
  <si>
    <t>CoutaDia</t>
  </si>
  <si>
    <t>CARAMELOS</t>
  </si>
  <si>
    <t>GALLETA</t>
  </si>
  <si>
    <t>HARINA</t>
  </si>
  <si>
    <t>LICORES</t>
  </si>
  <si>
    <t>SNACK</t>
  </si>
  <si>
    <t xml:space="preserve">Fecha: </t>
  </si>
  <si>
    <t xml:space="preserve">Avance: </t>
  </si>
  <si>
    <t>PPTO</t>
  </si>
  <si>
    <t>Avance</t>
  </si>
  <si>
    <t>CodigUnico</t>
  </si>
  <si>
    <t>Proyección</t>
  </si>
  <si>
    <t>Couta Dia</t>
  </si>
  <si>
    <t xml:space="preserve">Días Trans: </t>
  </si>
  <si>
    <t xml:space="preserve">Días Laborables: </t>
  </si>
  <si>
    <t>Debería Estar</t>
  </si>
  <si>
    <t>Venta Dólares</t>
  </si>
  <si>
    <t>RESUMEN :</t>
  </si>
  <si>
    <t>Fecha</t>
  </si>
  <si>
    <t>Año</t>
  </si>
  <si>
    <t>Mes</t>
  </si>
  <si>
    <t>Primer dia del mes</t>
  </si>
  <si>
    <t>Ultimo dia del mes</t>
  </si>
  <si>
    <t>Dias laborables</t>
  </si>
  <si>
    <t>Dias Transcurridos</t>
  </si>
  <si>
    <t>NombreMes</t>
  </si>
  <si>
    <t>NombreArchivo</t>
  </si>
  <si>
    <t>FeriadosDelMes</t>
  </si>
  <si>
    <t>Contacto</t>
  </si>
  <si>
    <t>Mensaje</t>
  </si>
  <si>
    <t>INI UIO</t>
  </si>
  <si>
    <t>Nombre</t>
  </si>
  <si>
    <t>CodigoUnico</t>
  </si>
  <si>
    <t>Validacion</t>
  </si>
  <si>
    <t>Supervisor</t>
  </si>
  <si>
    <t>NroVendedores</t>
  </si>
  <si>
    <t>RUTAS</t>
  </si>
  <si>
    <t>Validación</t>
  </si>
  <si>
    <t>593990647460</t>
  </si>
  <si>
    <t>_</t>
  </si>
  <si>
    <t>Venta Día Anterior</t>
  </si>
  <si>
    <t>% Crecimiento</t>
  </si>
  <si>
    <t>VtaAcumuladaAnterior</t>
  </si>
  <si>
    <t>Crecimiento</t>
  </si>
  <si>
    <t>% Crecimeinto</t>
  </si>
  <si>
    <t>Documento</t>
  </si>
  <si>
    <t>Dolares</t>
  </si>
  <si>
    <t>Dias Laborables:</t>
  </si>
  <si>
    <t>Dias Transcurridos:</t>
  </si>
  <si>
    <t>PASTAS</t>
  </si>
  <si>
    <t>P&amp;G</t>
  </si>
  <si>
    <t>LA POPULAR</t>
  </si>
  <si>
    <t>AGOSTO</t>
  </si>
  <si>
    <t>Marcas Objetivo del Mes</t>
  </si>
  <si>
    <t>MarcaArticulo</t>
  </si>
  <si>
    <t>AMANCAY</t>
  </si>
  <si>
    <t>SALTICAS</t>
  </si>
  <si>
    <t>MIAS</t>
  </si>
  <si>
    <t>ELABORADOS ALES</t>
  </si>
  <si>
    <t>Categorías</t>
  </si>
  <si>
    <t>TOTAL SUPERIOR</t>
  </si>
  <si>
    <t>TOTAL L. DISTRIBUCIÓN</t>
  </si>
  <si>
    <t>Clientes Impactados</t>
  </si>
  <si>
    <t>Cuota hora</t>
  </si>
  <si>
    <t>cumpl. Vs cuota hora</t>
  </si>
  <si>
    <t>Falta para Cuota Día</t>
  </si>
  <si>
    <t>Hora:</t>
  </si>
  <si>
    <t>Corte:</t>
  </si>
  <si>
    <t>SUPERVISOR_Q02</t>
  </si>
  <si>
    <t>SUPERVISOR_Q01</t>
  </si>
  <si>
    <t>SUPERVISOR_Q04</t>
  </si>
  <si>
    <t>SUPERVISOR_Q03</t>
  </si>
  <si>
    <t>SUPERVISOR_Q05</t>
  </si>
  <si>
    <t>593990414479</t>
  </si>
  <si>
    <t>ARTURO CANTOS</t>
  </si>
  <si>
    <t>DANIEL FIALLOS</t>
  </si>
  <si>
    <t>EDWIN CAÑADAS</t>
  </si>
  <si>
    <t>GALO FALCONES</t>
  </si>
  <si>
    <t>JACQUELINE MORA</t>
  </si>
  <si>
    <t>JAVIER MADRID</t>
  </si>
  <si>
    <t>JHANET AGUILERA</t>
  </si>
  <si>
    <t>JORGE LOPEZ</t>
  </si>
  <si>
    <t>JOSE LUIS ZURITA</t>
  </si>
  <si>
    <t>MARCO CHAVEZ</t>
  </si>
  <si>
    <t>MARIO CARDENAS</t>
  </si>
  <si>
    <t>MIGUEL REDROBAN</t>
  </si>
  <si>
    <t>RICARDO CHOEZ</t>
  </si>
  <si>
    <t>VICKY MERO</t>
  </si>
  <si>
    <t>VICTOR BONILLA</t>
  </si>
  <si>
    <t>VICTOR ROSALES</t>
  </si>
  <si>
    <t>VICTOR SIMBA</t>
  </si>
  <si>
    <t>NELSON CASTRO</t>
  </si>
  <si>
    <t>LUIS ROSSIGNOLI</t>
  </si>
  <si>
    <t>Andres Cabrera - Costa/Austro</t>
  </si>
  <si>
    <t>Andres Cabrera - Sierra</t>
  </si>
  <si>
    <t>Daniel Pozo</t>
  </si>
  <si>
    <t>Daniel Pozo - Costa/Austro</t>
  </si>
  <si>
    <t>Daniel Pozo - Sierra</t>
  </si>
  <si>
    <t>Edwin Cañadas</t>
  </si>
  <si>
    <t>Juan Allan</t>
  </si>
  <si>
    <t>Leonardo Falcones</t>
  </si>
  <si>
    <t>593998000796</t>
  </si>
  <si>
    <t>593994822224</t>
  </si>
  <si>
    <t>593986284340</t>
  </si>
  <si>
    <t>593990647546</t>
  </si>
  <si>
    <t>593986803423</t>
  </si>
  <si>
    <t>593997002594</t>
  </si>
  <si>
    <t>593994972227</t>
  </si>
  <si>
    <t>593993203022</t>
  </si>
  <si>
    <t>593990411104</t>
  </si>
  <si>
    <t>593994177472</t>
  </si>
  <si>
    <t>593959106329</t>
  </si>
  <si>
    <t>593991342551</t>
  </si>
  <si>
    <t>593999351953</t>
  </si>
  <si>
    <t>593993205746</t>
  </si>
  <si>
    <t>593986284370</t>
  </si>
  <si>
    <t>593988539110</t>
  </si>
  <si>
    <t>593980472280</t>
  </si>
  <si>
    <t>593988371600</t>
  </si>
  <si>
    <t>593993648512</t>
  </si>
  <si>
    <t>593997223156</t>
  </si>
  <si>
    <t>593994954439</t>
  </si>
  <si>
    <t>593994039722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</si>
</sst>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 [$$-300A]* ##,##0"/>
    <numFmt numFmtId="165" formatCode="_ [$$-300A]* #,##0_ ;_ [$$-300A]* \-#,##0_ ;_ [$$-300A]* &quot;-&quot;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rgb="FFFFFFFF"/>
      <name val="Calibri"/>
      <family val="2"/>
    </font>
    <font>
      <b/>
      <sz val="16"/>
      <color rgb="FFFFFFFF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b/>
      <sz val="12"/>
      <color theme="2"/>
      <name val="Arial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8"/>
      <name val="Calibri"/>
      <family val="2"/>
    </font>
    <font>
      <b/>
      <sz val="14"/>
      <name val="Calibri"/>
      <family val="2"/>
    </font>
    <font>
      <b/>
      <sz val="16"/>
      <name val="Calibri"/>
      <family val="2"/>
    </font>
    <font>
      <b/>
      <sz val="12"/>
      <name val="Calibri"/>
      <family val="2"/>
    </font>
    <font>
      <sz val="1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808080"/>
        <bgColor rgb="FF000000"/>
      </patternFill>
    </fill>
    <fill>
      <patternFill patternType="solid">
        <fgColor rgb="FF003366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</fills>
  <borders count="6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0" borderId="0"/>
  </cellStyleXfs>
  <cellXfs count="57">
    <xf numFmtId="0" fontId="0" fillId="0" borderId="0" xfId="0"/>
    <xf numFmtId="0" fontId="2" fillId="0" borderId="0" xfId="0" applyFont="1" applyFill="1" applyBorder="1"/>
    <xf numFmtId="0" fontId="3" fillId="3" borderId="2" xfId="0" applyFont="1" applyFill="1" applyBorder="1" applyAlignment="1">
      <alignment horizontal="center" vertical="center" wrapText="1"/>
    </xf>
    <xf numFmtId="165" fontId="6" fillId="0" borderId="0" xfId="0" applyNumberFormat="1" applyFont="1" applyFill="1" applyBorder="1" applyAlignment="1">
      <alignment horizontal="left"/>
    </xf>
    <xf numFmtId="9" fontId="6" fillId="0" borderId="0" xfId="0" applyNumberFormat="1" applyFont="1" applyFill="1" applyBorder="1"/>
    <xf numFmtId="0" fontId="8" fillId="0" borderId="0" xfId="0" applyFont="1"/>
    <xf numFmtId="14" fontId="0" fillId="0" borderId="0" xfId="0" applyNumberFormat="1"/>
    <xf numFmtId="9" fontId="0" fillId="0" borderId="0" xfId="1" applyFont="1"/>
    <xf numFmtId="0" fontId="0" fillId="0" borderId="0" xfId="0" quotePrefix="1"/>
    <xf numFmtId="9" fontId="0" fillId="0" borderId="0" xfId="0" applyNumberFormat="1"/>
    <xf numFmtId="9" fontId="0" fillId="4" borderId="0" xfId="0" applyNumberFormat="1" applyFill="1"/>
    <xf numFmtId="0" fontId="3" fillId="3" borderId="3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wrapText="1"/>
    </xf>
    <xf numFmtId="14" fontId="9" fillId="2" borderId="0" xfId="0" applyNumberFormat="1" applyFont="1" applyFill="1" applyBorder="1" applyAlignment="1">
      <alignment horizontal="center" wrapText="1"/>
    </xf>
    <xf numFmtId="9" fontId="9" fillId="2" borderId="0" xfId="1" applyFont="1" applyFill="1" applyBorder="1" applyAlignment="1">
      <alignment horizontal="center" wrapText="1"/>
    </xf>
    <xf numFmtId="0" fontId="3" fillId="3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9" fontId="6" fillId="0" borderId="0" xfId="1" applyFont="1" applyFill="1" applyBorder="1"/>
    <xf numFmtId="0" fontId="7" fillId="5" borderId="1" xfId="0" applyFont="1" applyFill="1" applyBorder="1" applyAlignment="1">
      <alignment horizontal="center"/>
    </xf>
    <xf numFmtId="164" fontId="7" fillId="5" borderId="1" xfId="0" applyNumberFormat="1" applyFont="1" applyFill="1" applyBorder="1"/>
    <xf numFmtId="9" fontId="7" fillId="5" borderId="1" xfId="0" applyNumberFormat="1" applyFont="1" applyFill="1" applyBorder="1"/>
    <xf numFmtId="9" fontId="7" fillId="5" borderId="1" xfId="1" applyFont="1" applyFill="1" applyBorder="1"/>
    <xf numFmtId="9" fontId="10" fillId="5" borderId="1" xfId="0" applyNumberFormat="1" applyFont="1" applyFill="1" applyBorder="1"/>
    <xf numFmtId="164" fontId="11" fillId="5" borderId="1" xfId="0" applyNumberFormat="1" applyFont="1" applyFill="1" applyBorder="1"/>
    <xf numFmtId="9" fontId="11" fillId="5" borderId="1" xfId="1" applyFont="1" applyFill="1" applyBorder="1"/>
    <xf numFmtId="0" fontId="12" fillId="0" borderId="0" xfId="0" applyFont="1"/>
    <xf numFmtId="0" fontId="13" fillId="0" borderId="0" xfId="0" applyFont="1" applyFill="1" applyBorder="1"/>
    <xf numFmtId="164" fontId="0" fillId="0" borderId="0" xfId="0" applyNumberFormat="1"/>
    <xf numFmtId="9" fontId="6" fillId="0" borderId="4" xfId="1" applyFont="1" applyFill="1" applyBorder="1"/>
    <xf numFmtId="9" fontId="7" fillId="5" borderId="0" xfId="1" applyFont="1" applyFill="1" applyBorder="1"/>
    <xf numFmtId="9" fontId="11" fillId="5" borderId="0" xfId="1" applyFont="1" applyFill="1" applyBorder="1"/>
    <xf numFmtId="0" fontId="17" fillId="6" borderId="0" xfId="0" applyFont="1" applyFill="1" applyBorder="1" applyAlignment="1">
      <alignment horizontal="center" wrapText="1"/>
    </xf>
    <xf numFmtId="14" fontId="17" fillId="6" borderId="0" xfId="0" applyNumberFormat="1" applyFont="1" applyFill="1" applyBorder="1" applyAlignment="1">
      <alignment horizontal="center" wrapText="1"/>
    </xf>
    <xf numFmtId="0" fontId="15" fillId="6" borderId="0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15" fillId="6" borderId="0" xfId="0" applyFont="1" applyFill="1" applyBorder="1" applyAlignment="1">
      <alignment horizontal="center" wrapText="1"/>
    </xf>
    <xf numFmtId="0" fontId="17" fillId="6" borderId="0" xfId="0" applyFont="1" applyFill="1" applyBorder="1" applyAlignment="1">
      <alignment horizontal="center" wrapText="1"/>
    </xf>
    <xf numFmtId="0" fontId="14" fillId="6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left"/>
    </xf>
    <xf numFmtId="0" fontId="3" fillId="3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0" fillId="0" borderId="0" xfId="0"/>
    <xf numFmtId="14" fontId="0" fillId="0" borderId="0" xfId="0" applyNumberFormat="1"/>
    <xf numFmtId="9" fontId="0" fillId="0" borderId="0" xfId="1" applyFont="1"/>
    <xf numFmtId="0" fontId="0" fillId="0" borderId="0" xfId="0" applyNumberFormat="1"/>
    <xf numFmtId="0" fontId="15" fillId="6" borderId="0" xfId="0" applyFont="1" applyFill="1" applyBorder="1" applyAlignment="1">
      <alignment horizontal="center" wrapText="1"/>
    </xf>
    <xf numFmtId="0" fontId="17" fillId="6" borderId="0" xfId="0" applyFont="1" applyFill="1" applyBorder="1" applyAlignment="1">
      <alignment horizontal="center" wrapText="1"/>
    </xf>
    <xf numFmtId="0" fontId="14" fillId="6" borderId="0" xfId="0" applyFont="1" applyFill="1" applyBorder="1" applyAlignment="1">
      <alignment horizontal="center"/>
    </xf>
    <xf numFmtId="0" fontId="16" fillId="6" borderId="0" xfId="0" applyFont="1" applyFill="1" applyBorder="1" applyAlignment="1">
      <alignment horizontal="center"/>
    </xf>
    <xf numFmtId="0" fontId="14" fillId="6" borderId="0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 wrapText="1"/>
    </xf>
    <xf numFmtId="0" fontId="3" fillId="2" borderId="0" xfId="0" applyFont="1" applyFill="1" applyBorder="1" applyAlignment="1">
      <alignment horizontal="center"/>
    </xf>
    <xf numFmtId="0" fontId="0" fillId="0" borderId="0" xfId="0"/>
  </cellXfs>
  <cellStyles count="3">
    <cellStyle name="Normal" xfId="0" builtinId="0"/>
    <cellStyle name="Normal 2" xfId="2"/>
    <cellStyle name="Porcentaje" xfId="1" builtinId="5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01388954484382E-2"/>
          <c:y val="0.11541295885018686"/>
          <c:w val="0.59927454013838777"/>
          <c:h val="0.883140765299074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AD-4895-AAED-36CB61C3A57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AD-4895-AAED-36CB61C3A57D}"/>
              </c:ext>
            </c:extLst>
          </c:dPt>
          <c:dLbls>
            <c:dLbl>
              <c:idx val="0"/>
              <c:layout>
                <c:manualLayout>
                  <c:x val="-0.24071977053826835"/>
                  <c:y val="2.561444317693408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BCEDDC0-0D38-4E96-8BFF-38516692A6FC}" type="VALUE">
                      <a:rPr lang="en-US" sz="1200" b="0" cap="none" spc="0">
                        <a:ln w="76200"/>
                        <a:solidFill>
                          <a:sysClr val="windowText" lastClr="000000"/>
                        </a:solidFill>
                        <a:effectLst>
                          <a:outerShdw blurRad="38100" dist="19050" dir="2700000" algn="tl" rotWithShape="0">
                            <a:schemeClr val="dk1">
                              <a:alpha val="40000"/>
                            </a:schemeClr>
                          </a:outerShdw>
                        </a:effectLst>
                      </a:rPr>
                      <a:pPr>
                        <a:defRPr sz="1200"/>
                      </a:pPr>
                      <a:t>[VALOR]</a:t>
                    </a:fld>
                    <a:endParaRPr lang="es-EC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3063554765235454"/>
                      <c:h val="0.7276079996772409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1AD-4895-AAED-36CB61C3A57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AD-4895-AAED-36CB61C3A5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GrupoArticulo!$N$2:$N$3</c:f>
              <c:numCache>
                <c:formatCode>0%</c:formatCode>
                <c:ptCount val="2"/>
                <c:pt idx="0">
                  <c:v>0.47619047619047616</c:v>
                </c:pt>
                <c:pt idx="1">
                  <c:v>0.52380952380952384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AD-4895-AAED-36CB61C3A5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791029</xdr:colOff>
      <xdr:row>1</xdr:row>
      <xdr:rowOff>217715</xdr:rowOff>
    </xdr:from>
    <xdr:to>
      <xdr:col>7</xdr:col>
      <xdr:colOff>607787</xdr:colOff>
      <xdr:row>5</xdr:row>
      <xdr:rowOff>27215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290286</xdr:colOff>
      <xdr:row>0</xdr:row>
      <xdr:rowOff>110783</xdr:rowOff>
    </xdr:from>
    <xdr:to>
      <xdr:col>8</xdr:col>
      <xdr:colOff>1029603</xdr:colOff>
      <xdr:row>3</xdr:row>
      <xdr:rowOff>104925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110783"/>
          <a:ext cx="1555746" cy="7379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414721</xdr:colOff>
      <xdr:row>1</xdr:row>
      <xdr:rowOff>91129</xdr:rowOff>
    </xdr:from>
    <xdr:to>
      <xdr:col>12</xdr:col>
      <xdr:colOff>1059816</xdr:colOff>
      <xdr:row>4</xdr:row>
      <xdr:rowOff>123825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2246" y="281629"/>
          <a:ext cx="1521395" cy="7375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"/>
  <sheetViews>
    <sheetView tabSelected="1" workbookViewId="0">
      <selection activeCell="A2" sqref="A2"/>
    </sheetView>
  </sheetViews>
  <sheetFormatPr baseColWidth="10" defaultRowHeight="14.5" x14ac:dyDescent="0.35"/>
  <cols>
    <col min="1" max="1" width="29" bestFit="1" customWidth="1"/>
    <col min="2" max="2" width="18.453125" bestFit="1" customWidth="1"/>
    <col min="5" max="5" width="11.1796875" bestFit="1" customWidth="1"/>
    <col min="10" max="10" width="21.54296875" bestFit="1" customWidth="1"/>
    <col min="11" max="11" width="13.1796875" customWidth="1"/>
  </cols>
  <sheetData>
    <row r="1" spans="1:11" x14ac:dyDescent="0.35">
      <c r="A1" t="s">
        <v>39</v>
      </c>
      <c r="B1" t="s">
        <v>38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49</v>
      </c>
      <c r="K1" t="s">
        <v>50</v>
      </c>
    </row>
    <row r="2" spans="1:11" x14ac:dyDescent="0.35">
      <c r="B2" t="str">
        <f>LEFT(A2,7)</f>
        <v/>
      </c>
      <c r="C2" t="str">
        <f>MID(A2,8,100)</f>
        <v/>
      </c>
      <c r="E2" s="56">
        <f ca="1">SUMIF(ReporteGeneral!A:S,A2,ReporteGeneral!Q:Q)</f>
        <v>0</v>
      </c>
    </row>
  </sheetData>
  <sortState ref="A2:A3657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P1"/>
  <sheetViews>
    <sheetView workbookViewId="0"/>
  </sheetViews>
  <sheetFormatPr baseColWidth="10" defaultRowHeight="14.5" x14ac:dyDescent="0.35"/>
  <cols>
    <col min="1" max="10" width="10.90625" style="56"/>
    <col min="11" max="11" width="10.90625" style="44"/>
    <col min="14" max="16" width="10.90625" style="56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1"/>
  <sheetViews>
    <sheetView workbookViewId="0">
      <selection activeCell="A2" sqref="A2"/>
    </sheetView>
  </sheetViews>
  <sheetFormatPr baseColWidth="10" defaultRowHeight="14.5" x14ac:dyDescent="0.35"/>
  <cols>
    <col min="1" max="1" width="25.7265625" bestFit="1" customWidth="1"/>
    <col min="2" max="2" width="18.453125" bestFit="1" customWidth="1"/>
    <col min="3" max="3" width="14.7265625" bestFit="1" customWidth="1"/>
    <col min="10" max="10" width="21.54296875" bestFit="1" customWidth="1"/>
    <col min="11" max="11" width="14.26953125" customWidth="1"/>
  </cols>
  <sheetData>
    <row r="1" spans="1:11" x14ac:dyDescent="0.35">
      <c r="A1" t="s">
        <v>39</v>
      </c>
      <c r="B1" t="s">
        <v>38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49</v>
      </c>
      <c r="K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K1"/>
  <sheetViews>
    <sheetView workbookViewId="0"/>
  </sheetViews>
  <sheetFormatPr baseColWidth="10" defaultRowHeight="14.5" x14ac:dyDescent="0.35"/>
  <sheetData>
    <row r="1" spans="1:11" x14ac:dyDescent="0.35">
      <c r="A1" t="s">
        <v>17</v>
      </c>
      <c r="B1" t="s">
        <v>38</v>
      </c>
      <c r="C1" t="s">
        <v>61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49</v>
      </c>
      <c r="K1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1"/>
  <sheetViews>
    <sheetView workbookViewId="0"/>
  </sheetViews>
  <sheetFormatPr baseColWidth="10" defaultRowHeight="14.5" x14ac:dyDescent="0.35"/>
  <cols>
    <col min="1" max="1" width="33" customWidth="1"/>
    <col min="2" max="2" width="12" customWidth="1"/>
  </cols>
  <sheetData>
    <row r="1" spans="1:2" x14ac:dyDescent="0.35">
      <c r="A1" t="s">
        <v>52</v>
      </c>
      <c r="B1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6"/>
  <sheetViews>
    <sheetView workbookViewId="0">
      <selection activeCell="A7" sqref="A7"/>
    </sheetView>
  </sheetViews>
  <sheetFormatPr baseColWidth="10" defaultRowHeight="14.5" x14ac:dyDescent="0.35"/>
  <cols>
    <col min="1" max="1" width="20.26953125" bestFit="1" customWidth="1"/>
    <col min="2" max="2" width="18.453125" bestFit="1" customWidth="1"/>
  </cols>
  <sheetData>
    <row r="1" spans="1:2" x14ac:dyDescent="0.35">
      <c r="A1" t="s">
        <v>39</v>
      </c>
      <c r="B1" t="s">
        <v>38</v>
      </c>
    </row>
    <row r="2" spans="1:2" x14ac:dyDescent="0.35">
      <c r="A2" t="s">
        <v>76</v>
      </c>
      <c r="B2" t="s">
        <v>97</v>
      </c>
    </row>
    <row r="3" spans="1:2" x14ac:dyDescent="0.35">
      <c r="A3" t="s">
        <v>75</v>
      </c>
      <c r="B3" t="s">
        <v>83</v>
      </c>
    </row>
    <row r="4" spans="1:2" x14ac:dyDescent="0.35">
      <c r="A4" t="s">
        <v>78</v>
      </c>
      <c r="B4" t="s">
        <v>89</v>
      </c>
    </row>
    <row r="5" spans="1:2" x14ac:dyDescent="0.35">
      <c r="A5" t="s">
        <v>77</v>
      </c>
      <c r="B5" t="s">
        <v>89</v>
      </c>
    </row>
    <row r="6" spans="1:2" x14ac:dyDescent="0.35">
      <c r="A6" t="s">
        <v>79</v>
      </c>
      <c r="B6" t="s">
        <v>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9"/>
  <sheetViews>
    <sheetView workbookViewId="0">
      <selection activeCell="C8" sqref="C8"/>
    </sheetView>
  </sheetViews>
  <sheetFormatPr baseColWidth="10" defaultRowHeight="14.5" x14ac:dyDescent="0.35"/>
  <cols>
    <col min="1" max="1" width="20.26953125" customWidth="1"/>
    <col min="2" max="2" width="16.453125" customWidth="1"/>
    <col min="3" max="3" width="52.26953125" bestFit="1" customWidth="1"/>
  </cols>
  <sheetData>
    <row r="1" spans="1:3" x14ac:dyDescent="0.35">
      <c r="A1" t="s">
        <v>0</v>
      </c>
      <c r="B1" t="s">
        <v>35</v>
      </c>
      <c r="C1" t="s">
        <v>36</v>
      </c>
    </row>
    <row r="2" spans="1:3" x14ac:dyDescent="0.35">
      <c r="A2" s="8" t="s">
        <v>37</v>
      </c>
      <c r="B2" s="8" t="s">
        <v>45</v>
      </c>
      <c r="C2" s="8" t="str">
        <f ca="1">CONCATENATE("Inicio Mensajes Supervisores ",TEXT(NOW(),"yyyy-mm-dd hh:mm:ss"))</f>
        <v>Inicio Mensajes Supervisores 2022-10-17 11:26:48</v>
      </c>
    </row>
    <row r="3" spans="1:3" x14ac:dyDescent="0.35">
      <c r="A3" s="56" t="s">
        <v>100</v>
      </c>
      <c r="B3" s="56" t="s">
        <v>108</v>
      </c>
      <c r="C3" s="56" t="str">
        <f ca="1">CONCATENATE("Reporte Seguimiento ",A3," ",TEXT(NOW(),"yyyy-mm-dd hh:mm:ss"))</f>
        <v>Reporte Seguimiento Andres Cabrera - Costa/Austro 2022-10-17 11:26:48</v>
      </c>
    </row>
    <row r="4" spans="1:3" x14ac:dyDescent="0.35">
      <c r="A4" s="56" t="s">
        <v>101</v>
      </c>
      <c r="B4" s="56" t="s">
        <v>108</v>
      </c>
      <c r="C4" s="56" t="str">
        <f t="shared" ref="C4:C29" ca="1" si="0">CONCATENATE("Reporte Seguimiento ",A4," ",TEXT(NOW(),"yyyy-mm-dd hh:mm:ss"))</f>
        <v>Reporte Seguimiento Andres Cabrera - Sierra 2022-10-17 11:26:48</v>
      </c>
    </row>
    <row r="5" spans="1:3" x14ac:dyDescent="0.35">
      <c r="A5" s="56" t="s">
        <v>81</v>
      </c>
      <c r="B5" s="56" t="s">
        <v>109</v>
      </c>
      <c r="C5" s="56" t="str">
        <f t="shared" ca="1" si="0"/>
        <v>Reporte Seguimiento ARTURO CANTOS 2022-10-17 11:26:48</v>
      </c>
    </row>
    <row r="6" spans="1:3" x14ac:dyDescent="0.35">
      <c r="A6" s="56" t="s">
        <v>82</v>
      </c>
      <c r="B6" s="56" t="s">
        <v>110</v>
      </c>
      <c r="C6" s="56" t="str">
        <f t="shared" ca="1" si="0"/>
        <v>Reporte Seguimiento DANIEL FIALLOS 2022-10-17 11:26:48</v>
      </c>
    </row>
    <row r="7" spans="1:3" x14ac:dyDescent="0.35">
      <c r="A7" s="56" t="s">
        <v>102</v>
      </c>
      <c r="B7" s="56" t="s">
        <v>111</v>
      </c>
      <c r="C7" s="56" t="str">
        <f t="shared" ca="1" si="0"/>
        <v>Reporte Seguimiento Daniel Pozo 2022-10-17 11:26:48</v>
      </c>
    </row>
    <row r="8" spans="1:3" x14ac:dyDescent="0.35">
      <c r="A8" s="56" t="s">
        <v>103</v>
      </c>
      <c r="B8" s="56" t="s">
        <v>111</v>
      </c>
      <c r="C8" s="56" t="str">
        <f t="shared" ca="1" si="0"/>
        <v>Reporte Seguimiento Daniel Pozo - Costa/Austro 2022-10-17 11:26:48</v>
      </c>
    </row>
    <row r="9" spans="1:3" x14ac:dyDescent="0.35">
      <c r="A9" s="56" t="s">
        <v>104</v>
      </c>
      <c r="B9" s="56" t="s">
        <v>111</v>
      </c>
      <c r="C9" s="56" t="str">
        <f t="shared" ca="1" si="0"/>
        <v>Reporte Seguimiento Daniel Pozo - Sierra 2022-10-17 11:26:48</v>
      </c>
    </row>
    <row r="10" spans="1:3" x14ac:dyDescent="0.35">
      <c r="A10" s="56" t="s">
        <v>105</v>
      </c>
      <c r="B10" s="56" t="s">
        <v>112</v>
      </c>
      <c r="C10" s="56" t="str">
        <f t="shared" ca="1" si="0"/>
        <v>Reporte Seguimiento Edwin Cañadas 2022-10-17 11:26:48</v>
      </c>
    </row>
    <row r="11" spans="1:3" x14ac:dyDescent="0.35">
      <c r="A11" s="56" t="s">
        <v>83</v>
      </c>
      <c r="B11" s="56" t="s">
        <v>112</v>
      </c>
      <c r="C11" s="56" t="str">
        <f t="shared" ca="1" si="0"/>
        <v>Reporte Seguimiento EDWIN CAÑADAS 2022-10-17 11:26:48</v>
      </c>
    </row>
    <row r="12" spans="1:3" x14ac:dyDescent="0.35">
      <c r="A12" s="56" t="s">
        <v>84</v>
      </c>
      <c r="B12" s="56" t="s">
        <v>113</v>
      </c>
      <c r="C12" s="56" t="str">
        <f t="shared" ca="1" si="0"/>
        <v>Reporte Seguimiento GALO FALCONES 2022-10-17 11:26:48</v>
      </c>
    </row>
    <row r="13" spans="1:3" x14ac:dyDescent="0.35">
      <c r="A13" s="56" t="s">
        <v>85</v>
      </c>
      <c r="B13" s="56" t="s">
        <v>114</v>
      </c>
      <c r="C13" s="56" t="str">
        <f t="shared" ca="1" si="0"/>
        <v>Reporte Seguimiento JACQUELINE MORA 2022-10-17 11:26:48</v>
      </c>
    </row>
    <row r="14" spans="1:3" x14ac:dyDescent="0.35">
      <c r="A14" s="56" t="s">
        <v>86</v>
      </c>
      <c r="B14" s="56" t="s">
        <v>115</v>
      </c>
      <c r="C14" s="56" t="str">
        <f t="shared" ca="1" si="0"/>
        <v>Reporte Seguimiento JAVIER MADRID 2022-10-17 11:26:48</v>
      </c>
    </row>
    <row r="15" spans="1:3" x14ac:dyDescent="0.35">
      <c r="A15" s="56" t="s">
        <v>87</v>
      </c>
      <c r="B15" s="56" t="s">
        <v>116</v>
      </c>
      <c r="C15" s="56" t="str">
        <f t="shared" ca="1" si="0"/>
        <v>Reporte Seguimiento JHANET AGUILERA 2022-10-17 11:26:48</v>
      </c>
    </row>
    <row r="16" spans="1:3" x14ac:dyDescent="0.35">
      <c r="A16" s="56" t="s">
        <v>88</v>
      </c>
      <c r="B16" s="56" t="s">
        <v>117</v>
      </c>
      <c r="C16" s="56" t="str">
        <f t="shared" ca="1" si="0"/>
        <v>Reporte Seguimiento JORGE LOPEZ 2022-10-17 11:26:48</v>
      </c>
    </row>
    <row r="17" spans="1:3" x14ac:dyDescent="0.35">
      <c r="A17" s="56" t="s">
        <v>89</v>
      </c>
      <c r="B17" s="56" t="s">
        <v>118</v>
      </c>
      <c r="C17" s="56" t="str">
        <f t="shared" ca="1" si="0"/>
        <v>Reporte Seguimiento JOSE LUIS ZURITA 2022-10-17 11:26:48</v>
      </c>
    </row>
    <row r="18" spans="1:3" x14ac:dyDescent="0.35">
      <c r="A18" s="56" t="s">
        <v>106</v>
      </c>
      <c r="B18" s="56" t="s">
        <v>119</v>
      </c>
      <c r="C18" s="56" t="str">
        <f t="shared" ca="1" si="0"/>
        <v>Reporte Seguimiento Juan Allan 2022-10-17 11:26:48</v>
      </c>
    </row>
    <row r="19" spans="1:3" x14ac:dyDescent="0.35">
      <c r="A19" s="56" t="s">
        <v>107</v>
      </c>
      <c r="B19" s="56" t="s">
        <v>120</v>
      </c>
      <c r="C19" s="56" t="str">
        <f t="shared" ca="1" si="0"/>
        <v>Reporte Seguimiento Leonardo Falcones 2022-10-17 11:26:48</v>
      </c>
    </row>
    <row r="20" spans="1:3" x14ac:dyDescent="0.35">
      <c r="A20" s="56" t="s">
        <v>99</v>
      </c>
      <c r="B20" s="56" t="s">
        <v>121</v>
      </c>
      <c r="C20" s="56" t="str">
        <f t="shared" ca="1" si="0"/>
        <v>Reporte Seguimiento LUIS ROSSIGNOLI 2022-10-17 11:26:48</v>
      </c>
    </row>
    <row r="21" spans="1:3" x14ac:dyDescent="0.35">
      <c r="A21" s="56" t="s">
        <v>90</v>
      </c>
      <c r="B21" s="56" t="s">
        <v>122</v>
      </c>
      <c r="C21" s="56" t="str">
        <f t="shared" ca="1" si="0"/>
        <v>Reporte Seguimiento MARCO CHAVEZ 2022-10-17 11:26:48</v>
      </c>
    </row>
    <row r="22" spans="1:3" x14ac:dyDescent="0.35">
      <c r="A22" s="56" t="s">
        <v>91</v>
      </c>
      <c r="B22" s="56" t="s">
        <v>123</v>
      </c>
      <c r="C22" s="56" t="str">
        <f t="shared" ca="1" si="0"/>
        <v>Reporte Seguimiento MARIO CARDENAS 2022-10-17 11:26:48</v>
      </c>
    </row>
    <row r="23" spans="1:3" x14ac:dyDescent="0.35">
      <c r="A23" s="56" t="s">
        <v>92</v>
      </c>
      <c r="B23" s="56" t="s">
        <v>80</v>
      </c>
      <c r="C23" s="56" t="str">
        <f t="shared" ca="1" si="0"/>
        <v>Reporte Seguimiento MIGUEL REDROBAN 2022-10-17 11:26:48</v>
      </c>
    </row>
    <row r="24" spans="1:3" x14ac:dyDescent="0.35">
      <c r="A24" s="56" t="s">
        <v>98</v>
      </c>
      <c r="B24" s="56" t="s">
        <v>124</v>
      </c>
      <c r="C24" s="56" t="str">
        <f t="shared" ca="1" si="0"/>
        <v>Reporte Seguimiento NELSON CASTRO 2022-10-17 11:26:48</v>
      </c>
    </row>
    <row r="25" spans="1:3" x14ac:dyDescent="0.35">
      <c r="A25" s="56" t="s">
        <v>93</v>
      </c>
      <c r="B25" s="56" t="s">
        <v>125</v>
      </c>
      <c r="C25" s="56" t="str">
        <f t="shared" ca="1" si="0"/>
        <v>Reporte Seguimiento RICARDO CHOEZ 2022-10-17 11:26:48</v>
      </c>
    </row>
    <row r="26" spans="1:3" x14ac:dyDescent="0.35">
      <c r="A26" s="56" t="s">
        <v>94</v>
      </c>
      <c r="B26" s="56" t="s">
        <v>126</v>
      </c>
      <c r="C26" s="56" t="str">
        <f t="shared" ca="1" si="0"/>
        <v>Reporte Seguimiento VICKY MERO 2022-10-17 11:26:48</v>
      </c>
    </row>
    <row r="27" spans="1:3" x14ac:dyDescent="0.35">
      <c r="A27" s="56" t="s">
        <v>95</v>
      </c>
      <c r="B27" s="56" t="s">
        <v>127</v>
      </c>
      <c r="C27" s="56" t="str">
        <f t="shared" ca="1" si="0"/>
        <v>Reporte Seguimiento VICTOR BONILLA 2022-10-17 11:26:48</v>
      </c>
    </row>
    <row r="28" spans="1:3" x14ac:dyDescent="0.35">
      <c r="A28" s="56" t="s">
        <v>96</v>
      </c>
      <c r="B28" s="56" t="s">
        <v>128</v>
      </c>
      <c r="C28" s="56" t="str">
        <f t="shared" ca="1" si="0"/>
        <v>Reporte Seguimiento VICTOR ROSALES 2022-10-17 11:26:48</v>
      </c>
    </row>
    <row r="29" spans="1:3" x14ac:dyDescent="0.35">
      <c r="A29" s="56" t="s">
        <v>97</v>
      </c>
      <c r="B29" s="56" t="s">
        <v>129</v>
      </c>
      <c r="C29" s="56" t="str">
        <f t="shared" ca="1" si="0"/>
        <v>Reporte Seguimiento VICTOR SIMBA 2022-10-17 11:26:48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54"/>
  <sheetViews>
    <sheetView showGridLines="0" zoomScale="70" zoomScaleNormal="70" workbookViewId="0">
      <selection activeCell="D10" sqref="D10"/>
    </sheetView>
  </sheetViews>
  <sheetFormatPr baseColWidth="10" defaultRowHeight="14.5" x14ac:dyDescent="0.35"/>
  <cols>
    <col min="1" max="1" width="18.26953125" bestFit="1" customWidth="1"/>
    <col min="3" max="3" width="26.54296875" customWidth="1"/>
    <col min="4" max="4" width="17.81640625" customWidth="1"/>
    <col min="5" max="5" width="15.7265625" customWidth="1"/>
    <col min="6" max="7" width="17.453125" customWidth="1"/>
    <col min="8" max="8" width="11.7265625" customWidth="1"/>
    <col min="9" max="9" width="15.36328125" customWidth="1"/>
    <col min="10" max="10" width="1.7265625" hidden="1" customWidth="1"/>
    <col min="12" max="12" width="15.453125" customWidth="1"/>
  </cols>
  <sheetData>
    <row r="2" spans="3:14" ht="23.5" x14ac:dyDescent="0.55000000000000004">
      <c r="C2" s="50" t="str">
        <f ca="1">CONCATENATE("Resumen Ventas Grupo Artículos ",Fechas!I2,"-",Fechas!B2)</f>
        <v>Resumen Ventas Grupo Artículos OCT-2022</v>
      </c>
      <c r="D2" s="50"/>
      <c r="E2" s="50"/>
      <c r="F2" s="50"/>
      <c r="G2" s="50"/>
      <c r="H2" s="1"/>
      <c r="I2" s="26" t="s">
        <v>46</v>
      </c>
      <c r="J2" s="25"/>
      <c r="L2" t="s">
        <v>54</v>
      </c>
      <c r="M2">
        <f ca="1">D5</f>
        <v>21</v>
      </c>
      <c r="N2" s="7">
        <f ca="1">M3/M2</f>
        <v>0.47619047619047616</v>
      </c>
    </row>
    <row r="3" spans="3:14" ht="21" x14ac:dyDescent="0.5">
      <c r="C3" s="51">
        <f>A10</f>
        <v>0</v>
      </c>
      <c r="D3" s="51"/>
      <c r="E3" s="51"/>
      <c r="F3" s="51"/>
      <c r="G3" s="51"/>
      <c r="H3" s="1"/>
      <c r="L3" t="s">
        <v>55</v>
      </c>
      <c r="M3">
        <f ca="1">F5</f>
        <v>10</v>
      </c>
      <c r="N3" s="7">
        <f ca="1">1-N2</f>
        <v>0.52380952380952384</v>
      </c>
    </row>
    <row r="4" spans="3:14" ht="18.5" x14ac:dyDescent="0.45">
      <c r="C4" s="33" t="s">
        <v>13</v>
      </c>
      <c r="D4" s="48" t="s">
        <v>21</v>
      </c>
      <c r="E4" s="48"/>
      <c r="F4" s="33" t="s">
        <v>20</v>
      </c>
      <c r="G4" s="52" t="s">
        <v>14</v>
      </c>
      <c r="H4" s="1"/>
    </row>
    <row r="5" spans="3:14" ht="15.5" x14ac:dyDescent="0.35">
      <c r="C5" s="32">
        <f ca="1">TODAY()-1</f>
        <v>44850</v>
      </c>
      <c r="D5" s="49">
        <f ca="1">Fechas!F2</f>
        <v>21</v>
      </c>
      <c r="E5" s="49"/>
      <c r="F5" s="31">
        <f ca="1">Fechas!G2</f>
        <v>10</v>
      </c>
      <c r="G5" s="52"/>
      <c r="H5" s="1"/>
      <c r="M5" s="9"/>
      <c r="N5" s="10">
        <v>1</v>
      </c>
    </row>
    <row r="6" spans="3:14" ht="7" customHeight="1" x14ac:dyDescent="0.35">
      <c r="C6" s="26" t="s">
        <v>46</v>
      </c>
      <c r="D6" s="38"/>
      <c r="E6" s="38"/>
      <c r="F6" s="38"/>
      <c r="G6" s="39"/>
      <c r="H6" s="1"/>
      <c r="M6" s="9"/>
      <c r="N6" s="10"/>
    </row>
    <row r="7" spans="3:14" ht="18.5" x14ac:dyDescent="0.45">
      <c r="C7" s="26" t="s">
        <v>46</v>
      </c>
      <c r="D7" s="38"/>
      <c r="E7" s="38"/>
      <c r="F7" s="37" t="s">
        <v>73</v>
      </c>
      <c r="H7" s="37" t="s">
        <v>74</v>
      </c>
      <c r="M7" s="9"/>
      <c r="N7" s="10"/>
    </row>
    <row r="8" spans="3:14" ht="7.5" customHeight="1" x14ac:dyDescent="0.35">
      <c r="C8" s="26" t="s">
        <v>46</v>
      </c>
      <c r="D8" s="26" t="s">
        <v>46</v>
      </c>
      <c r="E8" s="26" t="s">
        <v>46</v>
      </c>
      <c r="F8" s="26" t="s">
        <v>46</v>
      </c>
      <c r="G8" s="26" t="s">
        <v>46</v>
      </c>
      <c r="H8" s="26" t="s">
        <v>46</v>
      </c>
      <c r="I8" s="26" t="s">
        <v>46</v>
      </c>
      <c r="J8" s="26"/>
    </row>
    <row r="9" spans="3:14" ht="44.25" customHeight="1" x14ac:dyDescent="0.35">
      <c r="C9" s="2" t="s">
        <v>66</v>
      </c>
      <c r="D9" s="34" t="s">
        <v>69</v>
      </c>
      <c r="E9" s="2" t="s">
        <v>70</v>
      </c>
      <c r="F9" s="41" t="s">
        <v>23</v>
      </c>
      <c r="G9" s="2" t="s">
        <v>71</v>
      </c>
      <c r="H9" s="2" t="s">
        <v>22</v>
      </c>
      <c r="I9" s="34" t="s">
        <v>72</v>
      </c>
      <c r="J9" s="2" t="s">
        <v>48</v>
      </c>
      <c r="L9" s="15" t="s">
        <v>44</v>
      </c>
      <c r="M9" s="9"/>
      <c r="N9" s="7"/>
    </row>
    <row r="10" spans="3:14" x14ac:dyDescent="0.35">
      <c r="C10" s="42" t="s">
        <v>56</v>
      </c>
      <c r="D10" s="3">
        <f>IFERROR(VLOOKUP(CONCATENATE(A$10,C10),DetalleArticulos!A$2:I$2,4,FALSE),0)</f>
        <v>0</v>
      </c>
      <c r="E10" s="3">
        <f>IFERROR(VLOOKUP(CONCATENATE(A$10,C10),DetalleArticulos!A$2:I$2,5,FALSE),0)</f>
        <v>0</v>
      </c>
      <c r="F10" s="4">
        <f t="shared" ref="F10" si="0">IFERROR(E10/D10,0)</f>
        <v>0</v>
      </c>
      <c r="G10" s="17">
        <f>IFERROR(VLOOKUP(CONCATENATE(A$10,C10),DetalleArticulos!A$2:I$2,6,FALSE)/100,0)</f>
        <v>0</v>
      </c>
      <c r="H10" s="3">
        <f>IFERROR(VLOOKUP(CONCATENATE(A$10,C10),DetalleArticulos!A$2:I$2,7,FALSE),0)</f>
        <v>0</v>
      </c>
      <c r="I10" s="3">
        <f>IFERROR(VLOOKUP(CONCATENATE(A$10,C10),DetalleArticulos!A$2:I$2,8,FALSE),0)</f>
        <v>0</v>
      </c>
      <c r="J10" s="17">
        <f>IFERROR(VLOOKUP(CONCATENATE(A$10,C10),DetalleArticulos!A$2:K$2,11,FALSE),0)</f>
        <v>0</v>
      </c>
      <c r="L10" t="b">
        <f>IF(SUM(D10,E10)&gt;0,TRUE,FALSE)</f>
        <v>0</v>
      </c>
    </row>
    <row r="11" spans="3:14" x14ac:dyDescent="0.35">
      <c r="C11" s="42" t="s">
        <v>9</v>
      </c>
      <c r="D11" s="3">
        <f>IFERROR(VLOOKUP(CONCATENATE(A$10,C11),DetalleArticulos!A$2:I$2,4,FALSE),0)</f>
        <v>0</v>
      </c>
      <c r="E11" s="3">
        <f>IFERROR(VLOOKUP(CONCATENATE(A$10,C11),DetalleArticulos!A$2:I$2,5,FALSE),0)</f>
        <v>0</v>
      </c>
      <c r="F11" s="4">
        <f t="shared" ref="F11:F19" si="1">IFERROR(E11/D11,0)</f>
        <v>0</v>
      </c>
      <c r="G11" s="17">
        <f>IFERROR(VLOOKUP(CONCATENATE(A$10,C11),DetalleArticulos!A$2:I$2,6,FALSE)/100,0)</f>
        <v>0</v>
      </c>
      <c r="H11" s="3">
        <f>IFERROR(VLOOKUP(CONCATENATE(A$10,C11),DetalleArticulos!A$2:I$2,7,FALSE),0)</f>
        <v>0</v>
      </c>
      <c r="I11" s="3">
        <f>IFERROR(VLOOKUP(CONCATENATE(A$10,C11),DetalleArticulos!A$2:I$2,8,FALSE),0)</f>
        <v>0</v>
      </c>
      <c r="J11" s="17">
        <f>IFERROR(VLOOKUP(CONCATENATE(A$10,C11),DetalleArticulos!A$2:K$2,11,FALSE),0)</f>
        <v>0</v>
      </c>
      <c r="L11" t="b">
        <f t="shared" ref="L11:L20" si="2">IF(SUM(D11,E11)&gt;0,TRUE,FALSE)</f>
        <v>0</v>
      </c>
    </row>
    <row r="12" spans="3:14" x14ac:dyDescent="0.35">
      <c r="C12" s="42" t="s">
        <v>12</v>
      </c>
      <c r="D12" s="3">
        <f>IFERROR(VLOOKUP(CONCATENATE(A$10,C12),DetalleArticulos!A$2:I$2,4,FALSE),0)</f>
        <v>0</v>
      </c>
      <c r="E12" s="3">
        <f>IFERROR(VLOOKUP(CONCATENATE(A$10,C12),DetalleArticulos!A$2:I$2,5,FALSE),0)</f>
        <v>0</v>
      </c>
      <c r="F12" s="4">
        <f t="shared" si="1"/>
        <v>0</v>
      </c>
      <c r="G12" s="17">
        <f>IFERROR(VLOOKUP(CONCATENATE(A$10,C12),DetalleArticulos!A$2:I$2,6,FALSE)/100,0)</f>
        <v>0</v>
      </c>
      <c r="H12" s="3">
        <f>IFERROR(VLOOKUP(CONCATENATE(A$10,C12),DetalleArticulos!A$2:I$2,7,FALSE),0)</f>
        <v>0</v>
      </c>
      <c r="I12" s="3">
        <f>IFERROR(VLOOKUP(CONCATENATE(A$10,C12),DetalleArticulos!A$2:I$2,8,FALSE),0)</f>
        <v>0</v>
      </c>
      <c r="J12" s="17">
        <f>IFERROR(VLOOKUP(CONCATENATE(A$10,C12),DetalleArticulos!A$2:K$2,11,FALSE),0)</f>
        <v>0</v>
      </c>
      <c r="L12" t="b">
        <f t="shared" si="2"/>
        <v>0</v>
      </c>
    </row>
    <row r="13" spans="3:14" x14ac:dyDescent="0.35">
      <c r="C13" s="42" t="s">
        <v>10</v>
      </c>
      <c r="D13" s="3">
        <f>IFERROR(VLOOKUP(CONCATENATE(A$10,C13),DetalleArticulos!A$2:I$2,4,FALSE),0)</f>
        <v>0</v>
      </c>
      <c r="E13" s="3">
        <f>IFERROR(VLOOKUP(CONCATENATE(A$10,C13),DetalleArticulos!A$2:I$2,5,FALSE),0)</f>
        <v>0</v>
      </c>
      <c r="F13" s="4">
        <f t="shared" si="1"/>
        <v>0</v>
      </c>
      <c r="G13" s="17">
        <f>IFERROR(VLOOKUP(CONCATENATE(A$10,C13),DetalleArticulos!A$2:I$2,6,FALSE)/100,0)</f>
        <v>0</v>
      </c>
      <c r="H13" s="3">
        <f>IFERROR(VLOOKUP(CONCATENATE(A$10,C13),DetalleArticulos!A$2:I$2,7,FALSE),0)</f>
        <v>0</v>
      </c>
      <c r="I13" s="3">
        <f>IFERROR(VLOOKUP(CONCATENATE(A$10,C13),DetalleArticulos!A$2:I$2,8,FALSE),0)</f>
        <v>0</v>
      </c>
      <c r="J13" s="17">
        <f>IFERROR(VLOOKUP(CONCATENATE(A$10,C13),DetalleArticulos!A$2:K$2,11,FALSE),0)</f>
        <v>0</v>
      </c>
      <c r="L13" t="b">
        <f t="shared" si="2"/>
        <v>0</v>
      </c>
    </row>
    <row r="14" spans="3:14" x14ac:dyDescent="0.35">
      <c r="C14" s="35" t="s">
        <v>67</v>
      </c>
      <c r="D14" s="3"/>
      <c r="E14" s="3"/>
      <c r="F14" s="4"/>
      <c r="G14" s="17"/>
      <c r="H14" s="3"/>
      <c r="I14" s="3"/>
      <c r="J14" s="17"/>
      <c r="L14" t="b">
        <f t="shared" si="2"/>
        <v>0</v>
      </c>
    </row>
    <row r="15" spans="3:14" x14ac:dyDescent="0.35">
      <c r="C15" s="42" t="s">
        <v>11</v>
      </c>
      <c r="D15" s="3">
        <f>IFERROR(VLOOKUP(CONCATENATE(A$10,C15),DetalleArticulos!A$2:I$2,4,FALSE),0)</f>
        <v>0</v>
      </c>
      <c r="E15" s="3">
        <f>IFERROR(VLOOKUP(CONCATENATE(A$10,C15),DetalleArticulos!A$2:I$2,5,FALSE),0)</f>
        <v>0</v>
      </c>
      <c r="F15" s="4">
        <f t="shared" si="1"/>
        <v>0</v>
      </c>
      <c r="G15" s="17">
        <f>IFERROR(VLOOKUP(CONCATENATE(A$10,C15),DetalleArticulos!A$2:I$2,6,FALSE)/100,0)</f>
        <v>0</v>
      </c>
      <c r="H15" s="3">
        <f>IFERROR(VLOOKUP(CONCATENATE(A$10,C15),DetalleArticulos!A$2:I$2,7,FALSE),0)</f>
        <v>0</v>
      </c>
      <c r="I15" s="3">
        <f>IFERROR(VLOOKUP(CONCATENATE(A$10,C15),DetalleArticulos!A$2:I$2,8,FALSE),0)</f>
        <v>0</v>
      </c>
      <c r="J15" s="17">
        <f>IFERROR(VLOOKUP(CONCATENATE(A$10,C15),DetalleArticulos!A$2:K$2,11,FALSE),0)</f>
        <v>0</v>
      </c>
      <c r="L15" t="b">
        <f t="shared" si="2"/>
        <v>0</v>
      </c>
    </row>
    <row r="16" spans="3:14" x14ac:dyDescent="0.35">
      <c r="C16" s="42" t="s">
        <v>8</v>
      </c>
      <c r="D16" s="3">
        <f>IFERROR(VLOOKUP(CONCATENATE(A$10,C16),DetalleArticulos!A$2:I$2,4,FALSE),0)</f>
        <v>0</v>
      </c>
      <c r="E16" s="3">
        <f>IFERROR(VLOOKUP(CONCATENATE(A$10,C16),DetalleArticulos!A$2:I$2,5,FALSE),0)</f>
        <v>0</v>
      </c>
      <c r="F16" s="4">
        <f t="shared" si="1"/>
        <v>0</v>
      </c>
      <c r="G16" s="17">
        <f>IFERROR(VLOOKUP(CONCATENATE(A$10,C16),DetalleArticulos!A$2:I$2,6,FALSE)/100,0)</f>
        <v>0</v>
      </c>
      <c r="H16" s="3">
        <f>IFERROR(VLOOKUP(CONCATENATE(A$10,C16),DetalleArticulos!A$2:I$2,7,FALSE),0)</f>
        <v>0</v>
      </c>
      <c r="I16" s="3">
        <f>IFERROR(VLOOKUP(CONCATENATE(A$10,C16),DetalleArticulos!A$2:I$2,8,FALSE),0)</f>
        <v>0</v>
      </c>
      <c r="J16" s="17">
        <f>IFERROR(VLOOKUP(CONCATENATE(A$10,C16),DetalleArticulos!A$2:K$2,11,FALSE),0)</f>
        <v>0</v>
      </c>
      <c r="L16" t="b">
        <f t="shared" si="2"/>
        <v>0</v>
      </c>
    </row>
    <row r="17" spans="3:12" x14ac:dyDescent="0.35">
      <c r="C17" s="42" t="s">
        <v>57</v>
      </c>
      <c r="D17" s="3">
        <f>IFERROR(VLOOKUP(CONCATENATE(A$10,C17),DetalleArticulos!A$2:I$2,4,FALSE),0)</f>
        <v>0</v>
      </c>
      <c r="E17" s="3">
        <f>IFERROR(VLOOKUP(CONCATENATE(A$10,C17),DetalleArticulos!A$2:I$2,5,FALSE),0)</f>
        <v>0</v>
      </c>
      <c r="F17" s="4">
        <f t="shared" si="1"/>
        <v>0</v>
      </c>
      <c r="G17" s="17">
        <f>IFERROR(VLOOKUP(CONCATENATE(A$10,C17),DetalleArticulos!A$2:I$2,6,FALSE)/100,0)</f>
        <v>0</v>
      </c>
      <c r="H17" s="3">
        <f>IFERROR(VLOOKUP(CONCATENATE(A$10,C17),DetalleArticulos!A$2:I$2,7,FALSE),0)</f>
        <v>0</v>
      </c>
      <c r="I17" s="3">
        <f>IFERROR(VLOOKUP(CONCATENATE(A$10,C17),DetalleArticulos!A$2:I$2,8,FALSE),0)</f>
        <v>0</v>
      </c>
      <c r="J17" s="17">
        <f>IFERROR(VLOOKUP(CONCATENATE(A$10,C17),DetalleArticulos!A$2:K$2,11,FALSE),0)</f>
        <v>0</v>
      </c>
      <c r="L17" t="b">
        <f t="shared" si="2"/>
        <v>0</v>
      </c>
    </row>
    <row r="18" spans="3:12" x14ac:dyDescent="0.35">
      <c r="C18" s="42" t="s">
        <v>58</v>
      </c>
      <c r="D18" s="3">
        <f>IFERROR(VLOOKUP(CONCATENATE(A$10,C18),DetalleArticulos!A$2:I$2,4,FALSE),0)</f>
        <v>0</v>
      </c>
      <c r="E18" s="3">
        <f>IFERROR(VLOOKUP(CONCATENATE(A$10,C18),DetalleArticulos!A$2:I$2,5,FALSE),0)</f>
        <v>0</v>
      </c>
      <c r="F18" s="4">
        <f t="shared" si="1"/>
        <v>0</v>
      </c>
      <c r="G18" s="17">
        <f>IFERROR(VLOOKUP(CONCATENATE(A$10,C18),DetalleArticulos!A$2:I$2,6,FALSE)/100,0)</f>
        <v>0</v>
      </c>
      <c r="H18" s="3">
        <f>IFERROR(VLOOKUP(CONCATENATE(A$10,C18),DetalleArticulos!A$2:I$2,7,FALSE),0)</f>
        <v>0</v>
      </c>
      <c r="I18" s="3">
        <f>IFERROR(VLOOKUP(CONCATENATE(A$10,C18),DetalleArticulos!A$2:I$2,8,FALSE),0)</f>
        <v>0</v>
      </c>
      <c r="J18" s="17">
        <f>IFERROR(VLOOKUP(CONCATENATE(A$10,C18),DetalleArticulos!A$2:K$2,11,FALSE),0)</f>
        <v>0</v>
      </c>
      <c r="L18" t="b">
        <f t="shared" si="2"/>
        <v>0</v>
      </c>
    </row>
    <row r="19" spans="3:12" ht="15" thickBot="1" x14ac:dyDescent="0.4">
      <c r="C19" s="43" t="s">
        <v>65</v>
      </c>
      <c r="D19" s="3">
        <f>IFERROR(VLOOKUP(CONCATENATE(A$10,C19),DetalleArticulos!A$2:I$2,4,FALSE),0)</f>
        <v>0</v>
      </c>
      <c r="E19" s="3">
        <f>IFERROR(VLOOKUP(CONCATENATE(A$10,C19),DetalleArticulos!A$2:I$2,5,FALSE),0)</f>
        <v>0</v>
      </c>
      <c r="F19" s="4">
        <f t="shared" si="1"/>
        <v>0</v>
      </c>
      <c r="G19" s="17">
        <f>IFERROR(VLOOKUP(CONCATENATE(A$10,C19),DetalleArticulos!A$2:I$2,6,FALSE)/100,0)</f>
        <v>0</v>
      </c>
      <c r="H19" s="3">
        <f>IFERROR(VLOOKUP(CONCATENATE(A$10,C19),DetalleArticulos!A$2:I$2,7,FALSE),0)</f>
        <v>0</v>
      </c>
      <c r="I19" s="3">
        <f>IFERROR(VLOOKUP(CONCATENATE(A$10,C19),DetalleArticulos!A$2:I$2,8,FALSE),0)</f>
        <v>0</v>
      </c>
      <c r="J19" s="28">
        <f>IFERROR(VLOOKUP(CONCATENATE(A$10,C19),DetalleArticulos!A$2:K$2,11,FALSE),0)</f>
        <v>0</v>
      </c>
      <c r="L19" t="b">
        <f t="shared" si="2"/>
        <v>0</v>
      </c>
    </row>
    <row r="20" spans="3:12" ht="15.5" thickTop="1" thickBot="1" x14ac:dyDescent="0.4">
      <c r="C20" s="40" t="s">
        <v>68</v>
      </c>
      <c r="D20" s="3"/>
      <c r="E20" s="3"/>
      <c r="F20" s="4"/>
      <c r="G20" s="17"/>
      <c r="H20" s="3"/>
      <c r="I20" s="3"/>
      <c r="J20" s="17"/>
      <c r="L20" t="b">
        <f t="shared" si="2"/>
        <v>0</v>
      </c>
    </row>
    <row r="21" spans="3:12" ht="16" thickTop="1" x14ac:dyDescent="0.35">
      <c r="C21" s="18" t="s">
        <v>24</v>
      </c>
      <c r="D21" s="23">
        <f>SUM(D10:D19)</f>
        <v>0</v>
      </c>
      <c r="E21" s="23">
        <f>SUM(E10:E19)</f>
        <v>0</v>
      </c>
      <c r="F21" s="22">
        <f>IFERROR(E21/D21,0)</f>
        <v>0</v>
      </c>
      <c r="G21" s="24" t="e">
        <f ca="1">((E21/F5)*D5)/D21</f>
        <v>#DIV/0!</v>
      </c>
      <c r="H21" s="23">
        <f>SUM(H10:H19)</f>
        <v>0</v>
      </c>
      <c r="I21" s="23">
        <f>SUM(I10:I19)</f>
        <v>0</v>
      </c>
      <c r="J21" s="30" t="e">
        <f>#REF!/E21</f>
        <v>#REF!</v>
      </c>
    </row>
    <row r="22" spans="3:12" x14ac:dyDescent="0.35">
      <c r="C22" s="26" t="s">
        <v>46</v>
      </c>
    </row>
    <row r="23" spans="3:12" x14ac:dyDescent="0.35">
      <c r="C23" s="26" t="s">
        <v>46</v>
      </c>
    </row>
    <row r="24" spans="3:12" ht="36" customHeight="1" x14ac:dyDescent="0.35">
      <c r="C24" s="34" t="s">
        <v>60</v>
      </c>
      <c r="D24" s="34" t="s">
        <v>69</v>
      </c>
      <c r="E24" s="2" t="s">
        <v>70</v>
      </c>
      <c r="F24" s="41" t="s">
        <v>23</v>
      </c>
      <c r="G24" s="2" t="s">
        <v>71</v>
      </c>
      <c r="H24" s="2" t="s">
        <v>22</v>
      </c>
      <c r="I24" s="34" t="s">
        <v>72</v>
      </c>
      <c r="J24" s="34" t="s">
        <v>48</v>
      </c>
      <c r="K24" s="3"/>
    </row>
    <row r="25" spans="3:12" x14ac:dyDescent="0.35">
      <c r="C25" s="36" t="s">
        <v>62</v>
      </c>
      <c r="D25" s="3">
        <f>IFERROR(VLOOKUP(CONCATENATE(A$10,C25),DetalleMarca!A$2:I$25000,4,FALSE),0)</f>
        <v>0</v>
      </c>
      <c r="E25" s="3">
        <f>IFERROR(VLOOKUP(CONCATENATE(A$10,C25),DetalleMarca!A$2:I$25000,5,FALSE),0)</f>
        <v>0</v>
      </c>
      <c r="F25" s="4">
        <f t="shared" ref="F25:F26" si="3">IFERROR(E25/D25,0)</f>
        <v>0</v>
      </c>
      <c r="G25" s="17">
        <f>IFERROR(VLOOKUP(CONCATENATE(A$10,C25),DetalleMarca!A$2:I$25000,6,FALSE)/100,0)</f>
        <v>0</v>
      </c>
      <c r="H25" s="3">
        <f>IFERROR(VLOOKUP(CONCATENATE(A$10,C25),DetalleMarca!A$2:I$25000,7,FALSE),0)</f>
        <v>0</v>
      </c>
      <c r="I25" s="3">
        <f>IFERROR(VLOOKUP(CONCATENATE(A$10,C25),DetalleMarca!A$2:I$25000,8,FALSE),0)</f>
        <v>0</v>
      </c>
      <c r="J25" s="17">
        <f>IFERROR(VLOOKUP(CONCATENATE(A$10,C25),DetalleMarca!A$2:K$25000,11,FALSE),0)</f>
        <v>0</v>
      </c>
      <c r="K25" s="3"/>
    </row>
    <row r="26" spans="3:12" x14ac:dyDescent="0.35">
      <c r="C26" s="36" t="s">
        <v>63</v>
      </c>
      <c r="D26" s="3">
        <f>IFERROR(VLOOKUP(CONCATENATE(A$10,C26),DetalleMarca!A$2:I$25000,4,FALSE),0)</f>
        <v>0</v>
      </c>
      <c r="E26" s="3">
        <f>IFERROR(VLOOKUP(CONCATENATE(A$10,C26),DetalleMarca!A$2:I$25000,5,FALSE),0)</f>
        <v>0</v>
      </c>
      <c r="F26" s="4">
        <f t="shared" si="3"/>
        <v>0</v>
      </c>
      <c r="G26" s="17">
        <f>IFERROR(VLOOKUP(CONCATENATE(A$10,C26),DetalleMarca!A$2:I$25000,6,FALSE)/100,0)</f>
        <v>0</v>
      </c>
      <c r="H26" s="3">
        <f>IFERROR(VLOOKUP(CONCATENATE(A$10,C26),DetalleMarca!A$2:I$25000,7,FALSE),0)</f>
        <v>0</v>
      </c>
      <c r="I26" s="3">
        <f>IFERROR(VLOOKUP(CONCATENATE(A$10,C26),DetalleMarca!A$2:I$25000,8,FALSE),0)</f>
        <v>0</v>
      </c>
      <c r="J26" s="17">
        <f>IFERROR(VLOOKUP(CONCATENATE(A$10,C26),DetalleMarca!A$2:K$25000,11,FALSE),0)</f>
        <v>0</v>
      </c>
      <c r="K26" s="3"/>
    </row>
    <row r="27" spans="3:12" x14ac:dyDescent="0.35">
      <c r="C27" s="36" t="s">
        <v>64</v>
      </c>
      <c r="D27" s="3">
        <f>IFERROR(VLOOKUP(CONCATENATE(A$10,C27),DetalleMarca!A$2:I$25000,4,FALSE),0)</f>
        <v>0</v>
      </c>
      <c r="E27" s="3">
        <f>IFERROR(VLOOKUP(CONCATENATE(A$10,C27),DetalleMarca!A$2:I$25000,5,FALSE),0)</f>
        <v>0</v>
      </c>
      <c r="F27" s="4">
        <f>IFERROR(E27/D27,0)</f>
        <v>0</v>
      </c>
      <c r="G27" s="17">
        <f>IFERROR(VLOOKUP(CONCATENATE(A$10,C27),DetalleMarca!A$2:I$25000,6,FALSE)/100,0)</f>
        <v>0</v>
      </c>
      <c r="H27" s="3">
        <f>IFERROR(VLOOKUP(CONCATENATE(A$10,C27),DetalleMarca!A$2:I$25000,7,FALSE),0)</f>
        <v>0</v>
      </c>
      <c r="I27" s="3">
        <f>IFERROR(VLOOKUP(CONCATENATE(A$10,C27),DetalleMarca!A$2:I$25000,8,FALSE),0)</f>
        <v>0</v>
      </c>
      <c r="J27" s="17">
        <f>IFERROR(VLOOKUP(CONCATENATE(A$10,C27),DetalleMarca!A$2:K$25000,11,FALSE),0)</f>
        <v>0</v>
      </c>
      <c r="K27" s="3"/>
    </row>
    <row r="28" spans="3:12" x14ac:dyDescent="0.35">
      <c r="C28" s="26" t="s">
        <v>46</v>
      </c>
    </row>
    <row r="29" spans="3:12" x14ac:dyDescent="0.35">
      <c r="C29" s="26" t="s">
        <v>46</v>
      </c>
    </row>
    <row r="30" spans="3:12" ht="37" x14ac:dyDescent="0.35">
      <c r="C30" s="34" t="s">
        <v>60</v>
      </c>
      <c r="D30" s="34" t="s">
        <v>69</v>
      </c>
      <c r="E30" s="2" t="s">
        <v>70</v>
      </c>
      <c r="F30" s="41" t="s">
        <v>23</v>
      </c>
      <c r="G30" s="2" t="s">
        <v>71</v>
      </c>
      <c r="H30" s="2" t="s">
        <v>22</v>
      </c>
      <c r="I30" s="34" t="s">
        <v>72</v>
      </c>
    </row>
    <row r="31" spans="3:12" x14ac:dyDescent="0.35">
      <c r="C31" s="36" t="s">
        <v>62</v>
      </c>
      <c r="D31" s="3">
        <f>IFERROR(VLOOKUP(CONCATENATE(A$10,C31),DetalleMarca!A$2:I$25000,4,FALSE),0)</f>
        <v>0</v>
      </c>
      <c r="E31" s="3">
        <f>IFERROR(VLOOKUP(CONCATENATE(A$10,C31),DetalleMarca!A$2:I$25000,5,FALSE),0)</f>
        <v>0</v>
      </c>
      <c r="F31" s="4">
        <f t="shared" ref="F31:F32" si="4">IFERROR(E31/D31,0)</f>
        <v>0</v>
      </c>
      <c r="G31" s="17">
        <f>IFERROR(VLOOKUP(CONCATENATE(A$10,C31),DetalleMarca!A$2:I$25000,6,FALSE)/100,0)</f>
        <v>0</v>
      </c>
      <c r="H31" s="3">
        <f>IFERROR(VLOOKUP(CONCATENATE(A$10,C31),DetalleMarca!A$2:I$25000,7,FALSE),0)</f>
        <v>0</v>
      </c>
      <c r="I31" s="3">
        <f>IFERROR(VLOOKUP(CONCATENATE(A$10,C31),DetalleMarca!A$2:I$25000,8,FALSE),0)</f>
        <v>0</v>
      </c>
    </row>
    <row r="32" spans="3:12" x14ac:dyDescent="0.35">
      <c r="C32" s="36" t="s">
        <v>63</v>
      </c>
      <c r="D32" s="3">
        <f>IFERROR(VLOOKUP(CONCATENATE(A$10,C32),DetalleMarca!A$2:I$25000,4,FALSE),0)</f>
        <v>0</v>
      </c>
      <c r="E32" s="3">
        <f>IFERROR(VLOOKUP(CONCATENATE(A$10,C32),DetalleMarca!A$2:I$25000,5,FALSE),0)</f>
        <v>0</v>
      </c>
      <c r="F32" s="4">
        <f t="shared" si="4"/>
        <v>0</v>
      </c>
      <c r="G32" s="17">
        <f>IFERROR(VLOOKUP(CONCATENATE(A$10,C32),DetalleMarca!A$2:I$25000,6,FALSE)/100,0)</f>
        <v>0</v>
      </c>
      <c r="H32" s="3">
        <f>IFERROR(VLOOKUP(CONCATENATE(A$10,C32),DetalleMarca!A$2:I$25000,7,FALSE),0)</f>
        <v>0</v>
      </c>
      <c r="I32" s="3">
        <f>IFERROR(VLOOKUP(CONCATENATE(A$10,C32),DetalleMarca!A$2:I$25000,8,FALSE),0)</f>
        <v>0</v>
      </c>
    </row>
    <row r="33" spans="3:9" x14ac:dyDescent="0.35">
      <c r="C33" s="36" t="s">
        <v>64</v>
      </c>
      <c r="D33" s="3">
        <f>IFERROR(VLOOKUP(CONCATENATE(A$10,C33),DetalleMarca!A$2:I$25000,4,FALSE),0)</f>
        <v>0</v>
      </c>
      <c r="E33" s="3">
        <f>IFERROR(VLOOKUP(CONCATENATE(A$10,C33),DetalleMarca!A$2:I$25000,5,FALSE),0)</f>
        <v>0</v>
      </c>
      <c r="F33" s="4">
        <f>IFERROR(E33/D33,0)</f>
        <v>0</v>
      </c>
      <c r="G33" s="17">
        <f>IFERROR(VLOOKUP(CONCATENATE(A$10,C33),DetalleMarca!A$2:I$25000,6,FALSE)/100,0)</f>
        <v>0</v>
      </c>
      <c r="H33" s="3">
        <f>IFERROR(VLOOKUP(CONCATENATE(A$10,C33),DetalleMarca!A$2:I$25000,7,FALSE),0)</f>
        <v>0</v>
      </c>
      <c r="I33" s="3">
        <f>IFERROR(VLOOKUP(CONCATENATE(A$10,C33),DetalleMarca!A$2:I$25000,8,FALSE),0)</f>
        <v>0</v>
      </c>
    </row>
    <row r="34" spans="3:9" x14ac:dyDescent="0.35">
      <c r="C34" s="26"/>
    </row>
    <row r="35" spans="3:9" x14ac:dyDescent="0.35">
      <c r="C35" s="26"/>
    </row>
    <row r="36" spans="3:9" x14ac:dyDescent="0.35">
      <c r="C36" s="26" t="s">
        <v>46</v>
      </c>
    </row>
    <row r="37" spans="3:9" x14ac:dyDescent="0.35">
      <c r="C37" s="26" t="s">
        <v>46</v>
      </c>
      <c r="D37" s="27">
        <f>INT(D21+E21)</f>
        <v>0</v>
      </c>
    </row>
    <row r="38" spans="3:9" x14ac:dyDescent="0.35">
      <c r="C38" s="26" t="s">
        <v>46</v>
      </c>
    </row>
    <row r="39" spans="3:9" x14ac:dyDescent="0.35">
      <c r="C39" s="26" t="s">
        <v>46</v>
      </c>
    </row>
    <row r="40" spans="3:9" x14ac:dyDescent="0.35">
      <c r="C40" s="26" t="s">
        <v>46</v>
      </c>
    </row>
    <row r="41" spans="3:9" x14ac:dyDescent="0.35">
      <c r="C41" s="26" t="s">
        <v>46</v>
      </c>
    </row>
    <row r="42" spans="3:9" x14ac:dyDescent="0.35">
      <c r="C42" s="26" t="s">
        <v>46</v>
      </c>
    </row>
    <row r="43" spans="3:9" x14ac:dyDescent="0.35">
      <c r="C43" s="26" t="s">
        <v>46</v>
      </c>
    </row>
    <row r="44" spans="3:9" x14ac:dyDescent="0.35">
      <c r="C44" s="26" t="s">
        <v>46</v>
      </c>
    </row>
    <row r="45" spans="3:9" x14ac:dyDescent="0.35">
      <c r="C45" s="26" t="s">
        <v>46</v>
      </c>
    </row>
    <row r="46" spans="3:9" x14ac:dyDescent="0.35">
      <c r="C46" s="26" t="s">
        <v>46</v>
      </c>
    </row>
    <row r="47" spans="3:9" x14ac:dyDescent="0.35">
      <c r="C47" s="26" t="s">
        <v>46</v>
      </c>
    </row>
    <row r="48" spans="3:9" x14ac:dyDescent="0.35">
      <c r="C48" s="26" t="s">
        <v>46</v>
      </c>
    </row>
    <row r="49" spans="3:3" x14ac:dyDescent="0.35">
      <c r="C49" s="26" t="s">
        <v>46</v>
      </c>
    </row>
    <row r="50" spans="3:3" x14ac:dyDescent="0.35">
      <c r="C50" s="26" t="s">
        <v>46</v>
      </c>
    </row>
    <row r="51" spans="3:3" x14ac:dyDescent="0.35">
      <c r="C51" s="26" t="s">
        <v>46</v>
      </c>
    </row>
    <row r="52" spans="3:3" x14ac:dyDescent="0.35">
      <c r="C52" s="26" t="s">
        <v>46</v>
      </c>
    </row>
    <row r="53" spans="3:3" x14ac:dyDescent="0.35">
      <c r="C53" s="26" t="s">
        <v>46</v>
      </c>
    </row>
    <row r="54" spans="3:3" x14ac:dyDescent="0.35">
      <c r="C54" s="26" t="s">
        <v>46</v>
      </c>
    </row>
  </sheetData>
  <autoFilter ref="L9:L20"/>
  <mergeCells count="5">
    <mergeCell ref="D4:E4"/>
    <mergeCell ref="D5:E5"/>
    <mergeCell ref="C2:G2"/>
    <mergeCell ref="C3:G3"/>
    <mergeCell ref="G4:G5"/>
  </mergeCells>
  <conditionalFormatting sqref="F9:F20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{7313E0AA-0A5D-41F0-973C-31E1864A6EB1}</x14:id>
        </ext>
      </extLst>
    </cfRule>
  </conditionalFormatting>
  <conditionalFormatting sqref="F10:F20">
    <cfRule type="cellIs" dxfId="5" priority="15" operator="lessThan">
      <formula>$G$5</formula>
    </cfRule>
  </conditionalFormatting>
  <conditionalFormatting sqref="F21">
    <cfRule type="cellIs" dxfId="4" priority="13" operator="lessThan">
      <formula>$G$5</formula>
    </cfRule>
  </conditionalFormatting>
  <conditionalFormatting sqref="F25:F27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{AAAF0BB3-42F6-45FF-8439-5BAF51B91A84}</x14:id>
        </ext>
      </extLst>
    </cfRule>
  </conditionalFormatting>
  <conditionalFormatting sqref="F25:F27">
    <cfRule type="cellIs" dxfId="3" priority="5" operator="lessThan">
      <formula>$G$5</formula>
    </cfRule>
  </conditionalFormatting>
  <conditionalFormatting sqref="F24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{A4A72F99-8A9A-43AC-A468-B6C2DEC406AF}</x14:id>
        </ext>
      </extLst>
    </cfRule>
  </conditionalFormatting>
  <conditionalFormatting sqref="F31:F33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{A48D053D-5923-4569-8AA2-B4E7489C53D1}</x14:id>
        </ext>
      </extLst>
    </cfRule>
  </conditionalFormatting>
  <conditionalFormatting sqref="F31:F33">
    <cfRule type="cellIs" dxfId="2" priority="2" operator="lessThan">
      <formula>$G$5</formula>
    </cfRule>
  </conditionalFormatting>
  <conditionalFormatting sqref="F3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{D4AA9B52-657A-4AD0-BA75-83B48DC2B1F9}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F21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13E0AA-0A5D-41F0-973C-31E1864A6E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F9:F20</xm:sqref>
        </x14:conditionalFormatting>
        <x14:conditionalFormatting xmlns:xm="http://schemas.microsoft.com/office/excel/2006/main">
          <x14:cfRule type="dataBar" id="{AAAF0BB3-42F6-45FF-8439-5BAF51B91A8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A4A72F99-8A9A-43AC-A468-B6C2DEC406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A48D053D-5923-4569-8AA2-B4E7489C53D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F31:F33</xm:sqref>
        </x14:conditionalFormatting>
        <x14:conditionalFormatting xmlns:xm="http://schemas.microsoft.com/office/excel/2006/main">
          <x14:cfRule type="dataBar" id="{D4AA9B52-657A-4AD0-BA75-83B48DC2B1F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Q26"/>
  <sheetViews>
    <sheetView showGridLines="0" topLeftCell="B1" zoomScaleNormal="100" workbookViewId="0">
      <selection activeCell="M21" sqref="M21"/>
    </sheetView>
  </sheetViews>
  <sheetFormatPr baseColWidth="10" defaultRowHeight="14.5" x14ac:dyDescent="0.35"/>
  <cols>
    <col min="1" max="1" width="18.453125" bestFit="1" customWidth="1"/>
    <col min="2" max="2" width="13.81640625" bestFit="1" customWidth="1"/>
    <col min="4" max="4" width="19.26953125" customWidth="1"/>
    <col min="5" max="5" width="15.81640625" customWidth="1"/>
    <col min="6" max="6" width="14.7265625" customWidth="1"/>
    <col min="7" max="7" width="11.81640625" customWidth="1"/>
    <col min="8" max="8" width="13.453125" customWidth="1"/>
    <col min="9" max="9" width="15.26953125" customWidth="1"/>
    <col min="10" max="10" width="12.81640625" customWidth="1"/>
    <col min="11" max="12" width="13.1796875" customWidth="1"/>
    <col min="13" max="13" width="16" customWidth="1"/>
    <col min="15" max="15" width="13.453125" customWidth="1"/>
  </cols>
  <sheetData>
    <row r="2" spans="1:17" ht="21" x14ac:dyDescent="0.5">
      <c r="D2" s="53" t="str">
        <f ca="1">CONCATENATE("Resumen Rutas TAT  ",Fechas!I2,"-",Fechas!B2)</f>
        <v>Resumen Rutas TAT  OCT-2022</v>
      </c>
      <c r="E2" s="53"/>
      <c r="F2" s="53"/>
      <c r="G2" s="53"/>
      <c r="H2" s="53"/>
      <c r="I2" s="1"/>
      <c r="L2" s="25"/>
      <c r="M2" s="25" t="s">
        <v>46</v>
      </c>
    </row>
    <row r="3" spans="1:17" ht="18.5" x14ac:dyDescent="0.45">
      <c r="D3" s="55">
        <f>A8</f>
        <v>0</v>
      </c>
      <c r="E3" s="55"/>
      <c r="F3" s="55"/>
      <c r="G3" s="55"/>
      <c r="H3" s="55"/>
      <c r="I3" s="1"/>
    </row>
    <row r="4" spans="1:17" ht="15.5" x14ac:dyDescent="0.35">
      <c r="D4" s="12" t="s">
        <v>13</v>
      </c>
      <c r="E4" s="54" t="s">
        <v>21</v>
      </c>
      <c r="F4" s="54"/>
      <c r="G4" s="12" t="s">
        <v>20</v>
      </c>
      <c r="H4" s="12" t="s">
        <v>14</v>
      </c>
      <c r="I4" s="1"/>
    </row>
    <row r="5" spans="1:17" ht="15.5" x14ac:dyDescent="0.35">
      <c r="D5" s="13">
        <f ca="1">TODAY()-1</f>
        <v>44850</v>
      </c>
      <c r="E5" s="54">
        <f ca="1">Fechas!F2</f>
        <v>21</v>
      </c>
      <c r="F5" s="54"/>
      <c r="G5" s="12">
        <f ca="1">Fechas!G2</f>
        <v>10</v>
      </c>
      <c r="H5" s="14">
        <f ca="1">G5/E5</f>
        <v>0.47619047619047616</v>
      </c>
      <c r="I5" s="1"/>
      <c r="P5" s="9"/>
      <c r="Q5" s="10">
        <v>1</v>
      </c>
    </row>
    <row r="6" spans="1:17" ht="7.5" customHeight="1" x14ac:dyDescent="0.35">
      <c r="D6" s="26" t="s">
        <v>46</v>
      </c>
      <c r="E6" s="1"/>
      <c r="F6" s="1"/>
      <c r="G6" s="1"/>
      <c r="H6" s="1"/>
      <c r="I6" s="1"/>
    </row>
    <row r="7" spans="1:17" ht="37" x14ac:dyDescent="0.35">
      <c r="A7" s="16" t="s">
        <v>41</v>
      </c>
      <c r="B7" s="16" t="s">
        <v>42</v>
      </c>
      <c r="D7" s="2" t="s">
        <v>43</v>
      </c>
      <c r="E7" s="2" t="s">
        <v>15</v>
      </c>
      <c r="F7" s="2" t="s">
        <v>23</v>
      </c>
      <c r="G7" s="11" t="s">
        <v>16</v>
      </c>
      <c r="H7" s="2" t="s">
        <v>18</v>
      </c>
      <c r="I7" s="2" t="s">
        <v>22</v>
      </c>
      <c r="J7" s="2" t="s">
        <v>6</v>
      </c>
      <c r="K7" s="2" t="s">
        <v>19</v>
      </c>
      <c r="L7" s="2" t="s">
        <v>47</v>
      </c>
      <c r="M7" s="2" t="s">
        <v>51</v>
      </c>
      <c r="O7" s="15" t="s">
        <v>40</v>
      </c>
      <c r="P7" s="9"/>
      <c r="Q7" s="7"/>
    </row>
    <row r="8" spans="1:17" x14ac:dyDescent="0.35">
      <c r="B8">
        <v>1</v>
      </c>
      <c r="D8" s="5" t="str">
        <f>IFERROR(VLOOKUP(A$8&amp;B8,EstructuraTAT!A$2:C$170,3,FALSE),"")</f>
        <v/>
      </c>
      <c r="E8" s="3">
        <f>IFERROR(VLOOKUP(CONCATENATE(A$8,D8),DetalleVendedores!A$2:J$1500,4,FALSE),0)</f>
        <v>0</v>
      </c>
      <c r="F8" s="3">
        <f>IFERROR(VLOOKUP(CONCATENATE(A$8,D8),DetalleVendedores!A$2:J$1500,5,FALSE),0)</f>
        <v>0</v>
      </c>
      <c r="G8" s="4">
        <f t="shared" ref="G8" si="0">IFERROR(F8/E8,0)</f>
        <v>0</v>
      </c>
      <c r="H8" s="17">
        <f>IFERROR(VLOOKUP(CONCATENATE(A$8,D8),DetalleVendedores!A$2:J$1500,6,FALSE)/100,0)</f>
        <v>0</v>
      </c>
      <c r="I8" s="3">
        <f>IFERROR(VLOOKUP(CONCATENATE(A$8,D8),DetalleVendedores!A$2:J$1500,7,FALSE),0)</f>
        <v>0</v>
      </c>
      <c r="J8" s="3">
        <f>IFERROR(VLOOKUP(CONCATENATE(A$8,D8),DetalleVendedores!A$2:J$1500,8,FALSE),0)</f>
        <v>0</v>
      </c>
      <c r="K8" s="3">
        <f>IFERROR(VLOOKUP(CONCATENATE(A$8,D8),DetalleVendedores!A$2:J$1500,9,FALSE),0)</f>
        <v>0</v>
      </c>
      <c r="L8" s="3">
        <f>IFERROR(VLOOKUP(CONCATENATE(A$8,D8),DetalleVendedores!A$2:K$1500,10,FALSE),0)</f>
        <v>0</v>
      </c>
      <c r="M8" s="17">
        <f>IFERROR(VLOOKUP(CONCATENATE(A$8,D8),DetalleVendedores!A$2:K$1500,11,FALSE),0)</f>
        <v>0</v>
      </c>
      <c r="O8" t="b">
        <f>IF(D8&lt;&gt;"",TRUE,FALSE)</f>
        <v>0</v>
      </c>
    </row>
    <row r="9" spans="1:17" x14ac:dyDescent="0.35">
      <c r="B9">
        <v>2</v>
      </c>
      <c r="D9" s="5" t="str">
        <f>IFERROR(VLOOKUP(A$8&amp;B9,EstructuraTAT!A$2:C$170,3,FALSE),"")</f>
        <v/>
      </c>
      <c r="E9" s="3">
        <f>IFERROR(VLOOKUP(CONCATENATE(A$8,D9),DetalleVendedores!A$2:J$1500,4,FALSE),0)</f>
        <v>0</v>
      </c>
      <c r="F9" s="3">
        <f>IFERROR(VLOOKUP(CONCATENATE(A$8,D9),DetalleVendedores!A$2:J$1500,5,FALSE),0)</f>
        <v>0</v>
      </c>
      <c r="G9" s="4">
        <f t="shared" ref="G9:G22" si="1">IFERROR(F9/E9,0)</f>
        <v>0</v>
      </c>
      <c r="H9" s="17">
        <f>IFERROR(VLOOKUP(CONCATENATE(A$8,D9),DetalleVendedores!A$2:J$1500,6,FALSE)/100,0)</f>
        <v>0</v>
      </c>
      <c r="I9" s="3">
        <f>IFERROR(VLOOKUP(CONCATENATE(A$8,D9),DetalleVendedores!A$2:J$1500,7,FALSE),0)</f>
        <v>0</v>
      </c>
      <c r="J9" s="3">
        <f>IFERROR(VLOOKUP(CONCATENATE(A$8,D9),DetalleVendedores!A$2:J$1500,8,FALSE),0)</f>
        <v>0</v>
      </c>
      <c r="K9" s="3">
        <f>IFERROR(VLOOKUP(CONCATENATE(A$8,D9),DetalleVendedores!A$2:J$1500,9,FALSE),0)</f>
        <v>0</v>
      </c>
      <c r="L9" s="3">
        <f>IFERROR(VLOOKUP(CONCATENATE(A$8,D9),DetalleVendedores!A$2:K$1500,10,FALSE),0)</f>
        <v>0</v>
      </c>
      <c r="M9" s="17">
        <f>IFERROR(VLOOKUP(CONCATENATE(A$8,D9),DetalleVendedores!A$2:K$1500,11,FALSE),0)</f>
        <v>0</v>
      </c>
      <c r="O9" t="b">
        <f t="shared" ref="O9:O22" si="2">IF(D9&lt;&gt;"",TRUE,FALSE)</f>
        <v>0</v>
      </c>
    </row>
    <row r="10" spans="1:17" x14ac:dyDescent="0.35">
      <c r="B10">
        <v>3</v>
      </c>
      <c r="D10" s="5" t="str">
        <f>IFERROR(VLOOKUP(A$8&amp;B10,EstructuraTAT!A$2:C$170,3,FALSE),"")</f>
        <v/>
      </c>
      <c r="E10" s="3">
        <f>IFERROR(VLOOKUP(CONCATENATE(A$8,D10),DetalleVendedores!A$2:J$1500,4,FALSE),0)</f>
        <v>0</v>
      </c>
      <c r="F10" s="3">
        <f>IFERROR(VLOOKUP(CONCATENATE(A$8,D10),DetalleVendedores!A$2:J$1500,5,FALSE),0)</f>
        <v>0</v>
      </c>
      <c r="G10" s="4">
        <f t="shared" si="1"/>
        <v>0</v>
      </c>
      <c r="H10" s="17">
        <f>IFERROR(VLOOKUP(CONCATENATE(A$8,D10),DetalleVendedores!A$2:J$1500,6,FALSE)/100,0)</f>
        <v>0</v>
      </c>
      <c r="I10" s="3">
        <f>IFERROR(VLOOKUP(CONCATENATE(A$8,D10),DetalleVendedores!A$2:J$1500,7,FALSE),0)</f>
        <v>0</v>
      </c>
      <c r="J10" s="3">
        <f>IFERROR(VLOOKUP(CONCATENATE(A$8,D10),DetalleVendedores!A$2:J$1500,8,FALSE),0)</f>
        <v>0</v>
      </c>
      <c r="K10" s="3">
        <f>IFERROR(VLOOKUP(CONCATENATE(A$8,D10),DetalleVendedores!A$2:J$1500,9,FALSE),0)</f>
        <v>0</v>
      </c>
      <c r="L10" s="3">
        <f>IFERROR(VLOOKUP(CONCATENATE(A$8,D10),DetalleVendedores!A$2:K$1500,10,FALSE),0)</f>
        <v>0</v>
      </c>
      <c r="M10" s="17">
        <f>IFERROR(VLOOKUP(CONCATENATE(A$8,D10),DetalleVendedores!A$2:K$1500,11,FALSE),0)</f>
        <v>0</v>
      </c>
      <c r="O10" t="b">
        <f t="shared" si="2"/>
        <v>0</v>
      </c>
    </row>
    <row r="11" spans="1:17" x14ac:dyDescent="0.35">
      <c r="B11">
        <v>4</v>
      </c>
      <c r="D11" s="5" t="str">
        <f>IFERROR(VLOOKUP(A$8&amp;B11,EstructuraTAT!A$2:C$170,3,FALSE),"")</f>
        <v/>
      </c>
      <c r="E11" s="3">
        <f>IFERROR(VLOOKUP(CONCATENATE(A$8,D11),DetalleVendedores!A$2:J$1500,4,FALSE),0)</f>
        <v>0</v>
      </c>
      <c r="F11" s="3">
        <f>IFERROR(VLOOKUP(CONCATENATE(A$8,D11),DetalleVendedores!A$2:J$1500,5,FALSE),0)</f>
        <v>0</v>
      </c>
      <c r="G11" s="4">
        <f t="shared" si="1"/>
        <v>0</v>
      </c>
      <c r="H11" s="17">
        <f>IFERROR(VLOOKUP(CONCATENATE(A$8,D11),DetalleVendedores!A$2:J$1500,6,FALSE)/100,0)</f>
        <v>0</v>
      </c>
      <c r="I11" s="3">
        <f>IFERROR(VLOOKUP(CONCATENATE(A$8,D11),DetalleVendedores!A$2:J$1500,7,FALSE),0)</f>
        <v>0</v>
      </c>
      <c r="J11" s="3">
        <f>IFERROR(VLOOKUP(CONCATENATE(A$8,D11),DetalleVendedores!A$2:J$1500,8,FALSE),0)</f>
        <v>0</v>
      </c>
      <c r="K11" s="3">
        <f>IFERROR(VLOOKUP(CONCATENATE(A$8,D11),DetalleVendedores!A$2:J$1500,9,FALSE),0)</f>
        <v>0</v>
      </c>
      <c r="L11" s="3">
        <f>IFERROR(VLOOKUP(CONCATENATE(A$8,D11),DetalleVendedores!A$2:K$1500,10,FALSE),0)</f>
        <v>0</v>
      </c>
      <c r="M11" s="17">
        <f>IFERROR(VLOOKUP(CONCATENATE(A$8,D11),DetalleVendedores!A$2:K$1500,11,FALSE),0)</f>
        <v>0</v>
      </c>
      <c r="O11" t="b">
        <f t="shared" si="2"/>
        <v>0</v>
      </c>
    </row>
    <row r="12" spans="1:17" x14ac:dyDescent="0.35">
      <c r="B12">
        <v>5</v>
      </c>
      <c r="D12" s="5" t="str">
        <f>IFERROR(VLOOKUP(A$8&amp;B12,EstructuraTAT!A$2:C$170,3,FALSE),"")</f>
        <v/>
      </c>
      <c r="E12" s="3">
        <f>IFERROR(VLOOKUP(CONCATENATE(A$8,D12),DetalleVendedores!A$2:J$1500,4,FALSE),0)</f>
        <v>0</v>
      </c>
      <c r="F12" s="3">
        <f>IFERROR(VLOOKUP(CONCATENATE(A$8,D12),DetalleVendedores!A$2:J$1500,5,FALSE),0)</f>
        <v>0</v>
      </c>
      <c r="G12" s="4">
        <f t="shared" si="1"/>
        <v>0</v>
      </c>
      <c r="H12" s="17">
        <f>IFERROR(VLOOKUP(CONCATENATE(A$8,D12),DetalleVendedores!A$2:J$1500,6,FALSE)/100,0)</f>
        <v>0</v>
      </c>
      <c r="I12" s="3">
        <f>IFERROR(VLOOKUP(CONCATENATE(A$8,D12),DetalleVendedores!A$2:J$1500,7,FALSE),0)</f>
        <v>0</v>
      </c>
      <c r="J12" s="3">
        <f>IFERROR(VLOOKUP(CONCATENATE(A$8,D12),DetalleVendedores!A$2:J$1500,8,FALSE),0)</f>
        <v>0</v>
      </c>
      <c r="K12" s="3">
        <f>IFERROR(VLOOKUP(CONCATENATE(A$8,D12),DetalleVendedores!A$2:J$1500,9,FALSE),0)</f>
        <v>0</v>
      </c>
      <c r="L12" s="3">
        <f>IFERROR(VLOOKUP(CONCATENATE(A$8,D12),DetalleVendedores!A$2:K$1500,10,FALSE),0)</f>
        <v>0</v>
      </c>
      <c r="M12" s="17">
        <f>IFERROR(VLOOKUP(CONCATENATE(A$8,D12),DetalleVendedores!A$2:K$1500,11,FALSE),0)</f>
        <v>0</v>
      </c>
      <c r="O12" t="b">
        <f t="shared" si="2"/>
        <v>0</v>
      </c>
    </row>
    <row r="13" spans="1:17" x14ac:dyDescent="0.35">
      <c r="B13">
        <v>6</v>
      </c>
      <c r="D13" s="5" t="str">
        <f>IFERROR(VLOOKUP(A$8&amp;B13,EstructuraTAT!A$2:C$170,3,FALSE),"")</f>
        <v/>
      </c>
      <c r="E13" s="3">
        <f>IFERROR(VLOOKUP(CONCATENATE(A$8,D13),DetalleVendedores!A$2:J$1500,4,FALSE),0)</f>
        <v>0</v>
      </c>
      <c r="F13" s="3">
        <f>IFERROR(VLOOKUP(CONCATENATE(A$8,D13),DetalleVendedores!A$2:J$1500,5,FALSE),0)</f>
        <v>0</v>
      </c>
      <c r="G13" s="4">
        <f t="shared" si="1"/>
        <v>0</v>
      </c>
      <c r="H13" s="17">
        <f>IFERROR(VLOOKUP(CONCATENATE(A$8,D13),DetalleVendedores!A$2:J$1500,6,FALSE)/100,0)</f>
        <v>0</v>
      </c>
      <c r="I13" s="3">
        <f>IFERROR(VLOOKUP(CONCATENATE(A$8,D13),DetalleVendedores!A$2:J$1500,7,FALSE),0)</f>
        <v>0</v>
      </c>
      <c r="J13" s="3">
        <f>IFERROR(VLOOKUP(CONCATENATE(A$8,D13),DetalleVendedores!A$2:J$1500,8,FALSE),0)</f>
        <v>0</v>
      </c>
      <c r="K13" s="3">
        <f>IFERROR(VLOOKUP(CONCATENATE(A$8,D13),DetalleVendedores!A$2:J$1500,9,FALSE),0)</f>
        <v>0</v>
      </c>
      <c r="L13" s="3">
        <f>IFERROR(VLOOKUP(CONCATENATE(A$8,D13),DetalleVendedores!A$2:K$1500,10,FALSE),0)</f>
        <v>0</v>
      </c>
      <c r="M13" s="17">
        <f>IFERROR(VLOOKUP(CONCATENATE(A$8,D13),DetalleVendedores!A$2:K$1500,11,FALSE),0)</f>
        <v>0</v>
      </c>
      <c r="O13" t="b">
        <f t="shared" si="2"/>
        <v>0</v>
      </c>
    </row>
    <row r="14" spans="1:17" x14ac:dyDescent="0.35">
      <c r="B14">
        <v>7</v>
      </c>
      <c r="D14" s="5" t="str">
        <f>IFERROR(VLOOKUP(A$8&amp;B14,EstructuraTAT!A$2:C$170,3,FALSE),"")</f>
        <v/>
      </c>
      <c r="E14" s="3">
        <f>IFERROR(VLOOKUP(CONCATENATE(A$8,D14),DetalleVendedores!A$2:J$1500,4,FALSE),0)</f>
        <v>0</v>
      </c>
      <c r="F14" s="3">
        <f>IFERROR(VLOOKUP(CONCATENATE(A$8,D14),DetalleVendedores!A$2:J$1500,5,FALSE),0)</f>
        <v>0</v>
      </c>
      <c r="G14" s="4">
        <f t="shared" si="1"/>
        <v>0</v>
      </c>
      <c r="H14" s="17">
        <f>IFERROR(VLOOKUP(CONCATENATE(A$8,D14),DetalleVendedores!A$2:J$1500,6,FALSE)/100,0)</f>
        <v>0</v>
      </c>
      <c r="I14" s="3">
        <f>IFERROR(VLOOKUP(CONCATENATE(A$8,D14),DetalleVendedores!A$2:J$1500,7,FALSE),0)</f>
        <v>0</v>
      </c>
      <c r="J14" s="3">
        <f>IFERROR(VLOOKUP(CONCATENATE(A$8,D14),DetalleVendedores!A$2:J$1500,8,FALSE),0)</f>
        <v>0</v>
      </c>
      <c r="K14" s="3">
        <f>IFERROR(VLOOKUP(CONCATENATE(A$8,D14),DetalleVendedores!A$2:J$1500,9,FALSE),0)</f>
        <v>0</v>
      </c>
      <c r="L14" s="3">
        <f>IFERROR(VLOOKUP(CONCATENATE(A$8,D14),DetalleVendedores!A$2:K$1500,10,FALSE),0)</f>
        <v>0</v>
      </c>
      <c r="M14" s="17">
        <f>IFERROR(VLOOKUP(CONCATENATE(A$8,D14),DetalleVendedores!A$2:K$1500,11,FALSE),0)</f>
        <v>0</v>
      </c>
      <c r="O14" t="b">
        <f t="shared" si="2"/>
        <v>0</v>
      </c>
    </row>
    <row r="15" spans="1:17" x14ac:dyDescent="0.35">
      <c r="B15">
        <v>8</v>
      </c>
      <c r="D15" s="5" t="str">
        <f>IFERROR(VLOOKUP(A$8&amp;B15,EstructuraTAT!A$2:C$170,3,FALSE),"")</f>
        <v/>
      </c>
      <c r="E15" s="3">
        <f>IFERROR(VLOOKUP(CONCATENATE(A$8,D15),DetalleVendedores!A$2:J$1500,4,FALSE),0)</f>
        <v>0</v>
      </c>
      <c r="F15" s="3">
        <f>IFERROR(VLOOKUP(CONCATENATE(A$8,D15),DetalleVendedores!A$2:J$1500,5,FALSE),0)</f>
        <v>0</v>
      </c>
      <c r="G15" s="4">
        <f t="shared" si="1"/>
        <v>0</v>
      </c>
      <c r="H15" s="17">
        <f>IFERROR(VLOOKUP(CONCATENATE(A$8,D15),DetalleVendedores!A$2:J$1500,6,FALSE)/100,0)</f>
        <v>0</v>
      </c>
      <c r="I15" s="3">
        <f>IFERROR(VLOOKUP(CONCATENATE(A$8,D15),DetalleVendedores!A$2:J$1500,7,FALSE),0)</f>
        <v>0</v>
      </c>
      <c r="J15" s="3">
        <f>IFERROR(VLOOKUP(CONCATENATE(A$8,D15),DetalleVendedores!A$2:J$1500,8,FALSE),0)</f>
        <v>0</v>
      </c>
      <c r="K15" s="3">
        <f>IFERROR(VLOOKUP(CONCATENATE(A$8,D15),DetalleVendedores!A$2:J$1500,9,FALSE),0)</f>
        <v>0</v>
      </c>
      <c r="L15" s="3">
        <f>IFERROR(VLOOKUP(CONCATENATE(A$8,D15),DetalleVendedores!A$2:K$1500,10,FALSE),0)</f>
        <v>0</v>
      </c>
      <c r="M15" s="17">
        <f>IFERROR(VLOOKUP(CONCATENATE(A$8,D15),DetalleVendedores!A$2:K$1500,11,FALSE),0)</f>
        <v>0</v>
      </c>
      <c r="O15" t="b">
        <f t="shared" si="2"/>
        <v>0</v>
      </c>
    </row>
    <row r="16" spans="1:17" x14ac:dyDescent="0.35">
      <c r="B16">
        <v>9</v>
      </c>
      <c r="D16" s="5" t="str">
        <f>IFERROR(VLOOKUP(A$8&amp;B16,EstructuraTAT!A$2:C$170,3,FALSE),"")</f>
        <v/>
      </c>
      <c r="E16" s="3">
        <f>IFERROR(VLOOKUP(CONCATENATE(A$8,D16),DetalleVendedores!A$2:J$1500,4,FALSE),0)</f>
        <v>0</v>
      </c>
      <c r="F16" s="3">
        <f>IFERROR(VLOOKUP(CONCATENATE(A$8,D16),DetalleVendedores!A$2:J$1500,5,FALSE),0)</f>
        <v>0</v>
      </c>
      <c r="G16" s="4">
        <f t="shared" si="1"/>
        <v>0</v>
      </c>
      <c r="H16" s="17">
        <f>IFERROR(VLOOKUP(CONCATENATE(A$8,D16),DetalleVendedores!A$2:J$1500,6,FALSE)/100,0)</f>
        <v>0</v>
      </c>
      <c r="I16" s="3">
        <f>IFERROR(VLOOKUP(CONCATENATE(A$8,D16),DetalleVendedores!A$2:J$1500,7,FALSE),0)</f>
        <v>0</v>
      </c>
      <c r="J16" s="3">
        <f>IFERROR(VLOOKUP(CONCATENATE(A$8,D16),DetalleVendedores!A$2:J$1500,8,FALSE),0)</f>
        <v>0</v>
      </c>
      <c r="K16" s="3">
        <f>IFERROR(VLOOKUP(CONCATENATE(A$8,D16),DetalleVendedores!A$2:J$1500,9,FALSE),0)</f>
        <v>0</v>
      </c>
      <c r="L16" s="3">
        <f>IFERROR(VLOOKUP(CONCATENATE(A$8,D16),DetalleVendedores!A$2:K$1500,10,FALSE),0)</f>
        <v>0</v>
      </c>
      <c r="M16" s="17">
        <f>IFERROR(VLOOKUP(CONCATENATE(A$8,D16),DetalleVendedores!A$2:K$1500,11,FALSE),0)</f>
        <v>0</v>
      </c>
      <c r="O16" t="b">
        <f t="shared" si="2"/>
        <v>0</v>
      </c>
    </row>
    <row r="17" spans="2:15" x14ac:dyDescent="0.35">
      <c r="B17">
        <v>10</v>
      </c>
      <c r="D17" s="5" t="str">
        <f>IFERROR(VLOOKUP(A$8&amp;B17,EstructuraTAT!A$2:C$170,3,FALSE),"")</f>
        <v/>
      </c>
      <c r="E17" s="3">
        <f>IFERROR(VLOOKUP(CONCATENATE(A$8,D17),DetalleVendedores!A$2:J$1500,4,FALSE),0)</f>
        <v>0</v>
      </c>
      <c r="F17" s="3">
        <f>IFERROR(VLOOKUP(CONCATENATE(A$8,D17),DetalleVendedores!A$2:J$1500,5,FALSE),0)</f>
        <v>0</v>
      </c>
      <c r="G17" s="4">
        <f t="shared" si="1"/>
        <v>0</v>
      </c>
      <c r="H17" s="17">
        <f>IFERROR(VLOOKUP(CONCATENATE(A$8,D17),DetalleVendedores!A$2:J$1500,6,FALSE)/100,0)</f>
        <v>0</v>
      </c>
      <c r="I17" s="3">
        <f>IFERROR(VLOOKUP(CONCATENATE(A$8,D17),DetalleVendedores!A$2:J$1500,7,FALSE),0)</f>
        <v>0</v>
      </c>
      <c r="J17" s="3">
        <f>IFERROR(VLOOKUP(CONCATENATE(A$8,D17),DetalleVendedores!A$2:J$1500,8,FALSE),0)</f>
        <v>0</v>
      </c>
      <c r="K17" s="3">
        <f>IFERROR(VLOOKUP(CONCATENATE(A$8,D17),DetalleVendedores!A$2:J$1500,9,FALSE),0)</f>
        <v>0</v>
      </c>
      <c r="L17" s="3">
        <f>IFERROR(VLOOKUP(CONCATENATE(A$8,D17),DetalleVendedores!A$2:K$1500,10,FALSE),0)</f>
        <v>0</v>
      </c>
      <c r="M17" s="17">
        <f>IFERROR(VLOOKUP(CONCATENATE(A$8,D17),DetalleVendedores!A$2:K$1500,11,FALSE),0)</f>
        <v>0</v>
      </c>
      <c r="O17" t="b">
        <f t="shared" si="2"/>
        <v>0</v>
      </c>
    </row>
    <row r="18" spans="2:15" x14ac:dyDescent="0.35">
      <c r="B18">
        <v>11</v>
      </c>
      <c r="D18" s="5" t="str">
        <f>IFERROR(VLOOKUP(A$8&amp;B18,EstructuraTAT!A$2:C$170,3,FALSE),"")</f>
        <v/>
      </c>
      <c r="E18" s="3">
        <f>IFERROR(VLOOKUP(CONCATENATE(A$8,D18),DetalleVendedores!A$2:J$1500,4,FALSE),0)</f>
        <v>0</v>
      </c>
      <c r="F18" s="3">
        <f>IFERROR(VLOOKUP(CONCATENATE(A$8,D18),DetalleVendedores!A$2:J$1500,5,FALSE),0)</f>
        <v>0</v>
      </c>
      <c r="G18" s="4">
        <f t="shared" si="1"/>
        <v>0</v>
      </c>
      <c r="H18" s="17">
        <f>IFERROR(VLOOKUP(CONCATENATE(A$8,D18),DetalleVendedores!A$2:J$1500,6,FALSE)/100,0)</f>
        <v>0</v>
      </c>
      <c r="I18" s="3">
        <f>IFERROR(VLOOKUP(CONCATENATE(A$8,D18),DetalleVendedores!A$2:J$1500,7,FALSE),0)</f>
        <v>0</v>
      </c>
      <c r="J18" s="3">
        <f>IFERROR(VLOOKUP(CONCATENATE(A$8,D18),DetalleVendedores!A$2:J$1500,8,FALSE),0)</f>
        <v>0</v>
      </c>
      <c r="K18" s="3">
        <f>IFERROR(VLOOKUP(CONCATENATE(A$8,D18),DetalleVendedores!A$2:J$1500,9,FALSE),0)</f>
        <v>0</v>
      </c>
      <c r="L18" s="3">
        <f>IFERROR(VLOOKUP(CONCATENATE(A$8,D18),DetalleVendedores!A$2:K$1500,10,FALSE),0)</f>
        <v>0</v>
      </c>
      <c r="M18" s="17">
        <f>IFERROR(VLOOKUP(CONCATENATE(A$8,D18),DetalleVendedores!A$2:K$1500,11,FALSE),0)</f>
        <v>0</v>
      </c>
      <c r="O18" t="b">
        <f t="shared" si="2"/>
        <v>0</v>
      </c>
    </row>
    <row r="19" spans="2:15" x14ac:dyDescent="0.35">
      <c r="B19">
        <v>12</v>
      </c>
      <c r="D19" s="5" t="str">
        <f>IFERROR(VLOOKUP(A$8&amp;B19,EstructuraTAT!A$2:C$170,3,FALSE),"")</f>
        <v/>
      </c>
      <c r="E19" s="3">
        <f>IFERROR(VLOOKUP(CONCATENATE(A$8,D19),DetalleVendedores!A$2:J$1500,4,FALSE),0)</f>
        <v>0</v>
      </c>
      <c r="F19" s="3">
        <f>IFERROR(VLOOKUP(CONCATENATE(A$8,D19),DetalleVendedores!A$2:J$1500,5,FALSE),0)</f>
        <v>0</v>
      </c>
      <c r="G19" s="4">
        <f t="shared" si="1"/>
        <v>0</v>
      </c>
      <c r="H19" s="17">
        <f>IFERROR(VLOOKUP(CONCATENATE(A$8,D19),DetalleVendedores!A$2:J$1500,6,FALSE)/100,0)</f>
        <v>0</v>
      </c>
      <c r="I19" s="3">
        <f>IFERROR(VLOOKUP(CONCATENATE(A$8,D19),DetalleVendedores!A$2:J$1500,7,FALSE),0)</f>
        <v>0</v>
      </c>
      <c r="J19" s="3">
        <f>IFERROR(VLOOKUP(CONCATENATE(A$8,D19),DetalleVendedores!A$2:J$1500,8,FALSE),0)</f>
        <v>0</v>
      </c>
      <c r="K19" s="3">
        <f>IFERROR(VLOOKUP(CONCATENATE(A$8,D19),DetalleVendedores!A$2:J$1500,9,FALSE),0)</f>
        <v>0</v>
      </c>
      <c r="L19" s="3">
        <f>IFERROR(VLOOKUP(CONCATENATE(A$8,D19),DetalleVendedores!A$2:K$1500,10,FALSE),0)</f>
        <v>0</v>
      </c>
      <c r="M19" s="17">
        <f>IFERROR(VLOOKUP(CONCATENATE(A$8,D19),DetalleVendedores!A$2:K$1500,11,FALSE),0)</f>
        <v>0</v>
      </c>
      <c r="O19" t="b">
        <f t="shared" si="2"/>
        <v>0</v>
      </c>
    </row>
    <row r="20" spans="2:15" x14ac:dyDescent="0.35">
      <c r="B20">
        <v>13</v>
      </c>
      <c r="D20" s="5" t="str">
        <f>IFERROR(VLOOKUP(A$8&amp;B20,EstructuraTAT!A$2:C$170,3,FALSE),"")</f>
        <v/>
      </c>
      <c r="E20" s="3">
        <f>IFERROR(VLOOKUP(CONCATENATE(A$8,D20),DetalleVendedores!A$2:J$1500,4,FALSE),0)</f>
        <v>0</v>
      </c>
      <c r="F20" s="3">
        <f>IFERROR(VLOOKUP(CONCATENATE(A$8,D20),DetalleVendedores!A$2:J$1500,5,FALSE),0)</f>
        <v>0</v>
      </c>
      <c r="G20" s="4">
        <f t="shared" si="1"/>
        <v>0</v>
      </c>
      <c r="H20" s="17">
        <f>IFERROR(VLOOKUP(CONCATENATE(A$8,D20),DetalleVendedores!A$2:J$1500,6,FALSE)/100,0)</f>
        <v>0</v>
      </c>
      <c r="I20" s="3">
        <f>IFERROR(VLOOKUP(CONCATENATE(A$8,D20),DetalleVendedores!A$2:J$1500,7,FALSE),0)</f>
        <v>0</v>
      </c>
      <c r="J20" s="3">
        <f>IFERROR(VLOOKUP(CONCATENATE(A$8,D20),DetalleVendedores!A$2:J$1500,8,FALSE),0)</f>
        <v>0</v>
      </c>
      <c r="K20" s="3">
        <f>IFERROR(VLOOKUP(CONCATENATE(A$8,D20),DetalleVendedores!A$2:J$1500,9,FALSE),0)</f>
        <v>0</v>
      </c>
      <c r="L20" s="3">
        <f>IFERROR(VLOOKUP(CONCATENATE(A$8,D20),DetalleVendedores!A$2:K$1500,10,FALSE),0)</f>
        <v>0</v>
      </c>
      <c r="M20" s="17">
        <f>IFERROR(VLOOKUP(CONCATENATE(A$8,D20),DetalleVendedores!A$2:K$1500,11,FALSE),0)</f>
        <v>0</v>
      </c>
      <c r="O20" t="b">
        <f t="shared" si="2"/>
        <v>0</v>
      </c>
    </row>
    <row r="21" spans="2:15" x14ac:dyDescent="0.35">
      <c r="B21">
        <v>14</v>
      </c>
      <c r="D21" s="5" t="str">
        <f>IFERROR(VLOOKUP(A$8&amp;B21,EstructuraTAT!A$2:C$170,3,FALSE),"")</f>
        <v/>
      </c>
      <c r="E21" s="3">
        <f>IFERROR(VLOOKUP(CONCATENATE(A$8,D21),DetalleVendedores!A$2:J$1500,4,FALSE),0)</f>
        <v>0</v>
      </c>
      <c r="F21" s="3">
        <f>IFERROR(VLOOKUP(CONCATENATE(A$8,D21),DetalleVendedores!A$2:J$1500,5,FALSE),0)</f>
        <v>0</v>
      </c>
      <c r="G21" s="4">
        <f t="shared" si="1"/>
        <v>0</v>
      </c>
      <c r="H21" s="17">
        <f>IFERROR(VLOOKUP(CONCATENATE(A$8,D21),DetalleVendedores!A$2:J$1500,6,FALSE)/100,0)</f>
        <v>0</v>
      </c>
      <c r="I21" s="3">
        <f>IFERROR(VLOOKUP(CONCATENATE(A$8,D21),DetalleVendedores!A$2:J$1500,7,FALSE),0)</f>
        <v>0</v>
      </c>
      <c r="J21" s="3">
        <f>IFERROR(VLOOKUP(CONCATENATE(A$8,D21),DetalleVendedores!A$2:J$1500,8,FALSE),0)</f>
        <v>0</v>
      </c>
      <c r="K21" s="3">
        <f>IFERROR(VLOOKUP(CONCATENATE(A$8,D21),DetalleVendedores!A$2:J$1500,9,FALSE),0)</f>
        <v>0</v>
      </c>
      <c r="L21" s="3">
        <f>IFERROR(VLOOKUP(CONCATENATE(A$8,D21),DetalleVendedores!A$2:K$1500,10,FALSE),0)</f>
        <v>0</v>
      </c>
      <c r="M21" s="17">
        <f>IFERROR(VLOOKUP(CONCATENATE(A$8,D21),DetalleVendedores!A$2:K$1500,11,FALSE),0)</f>
        <v>0</v>
      </c>
      <c r="O21" t="b">
        <f t="shared" si="2"/>
        <v>0</v>
      </c>
    </row>
    <row r="22" spans="2:15" ht="15" thickBot="1" x14ac:dyDescent="0.4">
      <c r="B22">
        <v>15</v>
      </c>
      <c r="D22" s="5" t="str">
        <f>IFERROR(VLOOKUP(A$8&amp;B22,EstructuraTAT!A$2:C$170,3,FALSE),"")</f>
        <v/>
      </c>
      <c r="E22" s="3">
        <f>IFERROR(VLOOKUP(CONCATENATE(A$8,D22),DetalleVendedores!A$2:J$1500,4,FALSE),0)</f>
        <v>0</v>
      </c>
      <c r="F22" s="3">
        <f>IFERROR(VLOOKUP(CONCATENATE(A$8,D22),DetalleVendedores!A$2:J$1500,5,FALSE),0)</f>
        <v>0</v>
      </c>
      <c r="G22" s="4">
        <f t="shared" si="1"/>
        <v>0</v>
      </c>
      <c r="H22" s="17">
        <f>IFERROR(VLOOKUP(CONCATENATE(A$8,D22),DetalleVendedores!A$2:J$1500,6,FALSE)/100,0)</f>
        <v>0</v>
      </c>
      <c r="I22" s="3">
        <f>IFERROR(VLOOKUP(CONCATENATE(A$8,D22),DetalleVendedores!A$2:J$1500,7,FALSE),0)</f>
        <v>0</v>
      </c>
      <c r="J22" s="3">
        <f>IFERROR(VLOOKUP(CONCATENATE(A$8,D22),DetalleVendedores!A$2:J$1500,8,FALSE),0)</f>
        <v>0</v>
      </c>
      <c r="K22" s="3">
        <f>IFERROR(VLOOKUP(CONCATENATE(A$8,D22),DetalleVendedores!A$2:J$1500,9,FALSE),0)</f>
        <v>0</v>
      </c>
      <c r="L22" s="3">
        <f>IFERROR(VLOOKUP(CONCATENATE(A$8,D22),DetalleVendedores!A$2:K$1500,10,FALSE),0)</f>
        <v>0</v>
      </c>
      <c r="M22" s="28">
        <f>IFERROR(VLOOKUP(CONCATENATE(A$8,D22),DetalleVendedores!A$2:K$1500,11,FALSE),0)</f>
        <v>0</v>
      </c>
      <c r="O22" t="b">
        <f t="shared" si="2"/>
        <v>0</v>
      </c>
    </row>
    <row r="23" spans="2:15" ht="16" thickTop="1" x14ac:dyDescent="0.35">
      <c r="D23" s="18" t="s">
        <v>24</v>
      </c>
      <c r="E23" s="19">
        <f>SUM(E8:E22)</f>
        <v>0</v>
      </c>
      <c r="F23" s="19">
        <f>SUM(F8:F22)</f>
        <v>0</v>
      </c>
      <c r="G23" s="20">
        <f>IFERROR(F23/E23,0)</f>
        <v>0</v>
      </c>
      <c r="H23" s="21" t="e">
        <f ca="1">((F23/G5)*E5)/E23</f>
        <v>#DIV/0!</v>
      </c>
      <c r="I23" s="19">
        <f t="shared" ref="I23:L23" si="3">SUM(I8:I22)</f>
        <v>0</v>
      </c>
      <c r="J23" s="19">
        <f t="shared" si="3"/>
        <v>0</v>
      </c>
      <c r="K23" s="19">
        <f t="shared" si="3"/>
        <v>0</v>
      </c>
      <c r="L23" s="19">
        <f t="shared" si="3"/>
        <v>0</v>
      </c>
      <c r="M23" s="29" t="e">
        <f>L23/F23</f>
        <v>#DIV/0!</v>
      </c>
    </row>
    <row r="26" spans="2:15" x14ac:dyDescent="0.35">
      <c r="E26" s="27">
        <f>INT(E23+F23)</f>
        <v>0</v>
      </c>
    </row>
  </sheetData>
  <autoFilter ref="O7:O22"/>
  <mergeCells count="4">
    <mergeCell ref="D2:H2"/>
    <mergeCell ref="E4:F4"/>
    <mergeCell ref="E5:F5"/>
    <mergeCell ref="D3:H3"/>
  </mergeCells>
  <conditionalFormatting sqref="G8:G22">
    <cfRule type="cellIs" dxfId="1" priority="2" operator="lessThan">
      <formula>$H$5</formula>
    </cfRule>
  </conditionalFormatting>
  <conditionalFormatting sqref="G23">
    <cfRule type="cellIs" dxfId="0" priority="1" operator="lessThan">
      <formula>$H$5</formula>
    </cfRule>
  </conditionalFormatting>
  <conditionalFormatting sqref="G7:G22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{C84FDD4B-0F8A-42D8-A3E5-749FF4DA3A42}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G23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4FDD4B-0F8A-42D8-A3E5-749FF4DA3A4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G7:G22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L4"/>
  <sheetViews>
    <sheetView workbookViewId="0">
      <selection activeCell="E3" sqref="E3"/>
    </sheetView>
  </sheetViews>
  <sheetFormatPr baseColWidth="10" defaultRowHeight="14.5" x14ac:dyDescent="0.35"/>
  <cols>
    <col min="1" max="1" width="10.7265625" bestFit="1" customWidth="1"/>
    <col min="2" max="2" width="5" bestFit="1" customWidth="1"/>
    <col min="3" max="3" width="4.7265625" bestFit="1" customWidth="1"/>
    <col min="4" max="5" width="17.7265625" bestFit="1" customWidth="1"/>
    <col min="6" max="6" width="14.453125" bestFit="1" customWidth="1"/>
    <col min="7" max="7" width="17.26953125" bestFit="1" customWidth="1"/>
    <col min="8" max="8" width="7.453125" bestFit="1" customWidth="1"/>
    <col min="9" max="9" width="12.26953125" bestFit="1" customWidth="1"/>
    <col min="10" max="10" width="27.26953125" bestFit="1" customWidth="1"/>
    <col min="11" max="11" width="15.453125" bestFit="1" customWidth="1"/>
    <col min="12" max="12" width="12.26953125" bestFit="1" customWidth="1"/>
  </cols>
  <sheetData>
    <row r="1" spans="1:12" x14ac:dyDescent="0.35">
      <c r="A1" s="5" t="s">
        <v>25</v>
      </c>
      <c r="B1" s="5" t="s">
        <v>26</v>
      </c>
      <c r="C1" s="5" t="s">
        <v>27</v>
      </c>
      <c r="D1" s="5" t="s">
        <v>28</v>
      </c>
      <c r="E1" s="5" t="s">
        <v>29</v>
      </c>
      <c r="F1" s="5" t="s">
        <v>30</v>
      </c>
      <c r="G1" s="5" t="s">
        <v>31</v>
      </c>
      <c r="H1" s="5" t="s">
        <v>16</v>
      </c>
      <c r="I1" s="5" t="s">
        <v>32</v>
      </c>
      <c r="J1" s="5" t="s">
        <v>33</v>
      </c>
      <c r="K1" s="5" t="s">
        <v>34</v>
      </c>
      <c r="L1" s="5" t="s">
        <v>32</v>
      </c>
    </row>
    <row r="2" spans="1:12" x14ac:dyDescent="0.35">
      <c r="A2" s="45">
        <f ca="1">TODAY()-1</f>
        <v>44850</v>
      </c>
      <c r="B2" s="44">
        <f ca="1">YEAR(A2)</f>
        <v>2022</v>
      </c>
      <c r="C2" s="44">
        <f ca="1">MONTH(A2)</f>
        <v>10</v>
      </c>
      <c r="D2" s="45">
        <f ca="1">DATE(B2,C2,1)</f>
        <v>44835</v>
      </c>
      <c r="E2" s="45">
        <f ca="1">DATE(B2,C2+1,0)</f>
        <v>44865</v>
      </c>
      <c r="F2" s="47">
        <f ca="1">NETWORKDAYS(D2,E2,K2:K20)</f>
        <v>21</v>
      </c>
      <c r="G2" s="45">
        <f ca="1">NETWORKDAYS(D2,A2,K2:K3)</f>
        <v>10</v>
      </c>
      <c r="H2" s="46">
        <f ca="1">G2/F2</f>
        <v>0.47619047619047616</v>
      </c>
      <c r="I2" s="44" t="str">
        <f ca="1">UPPER((TEXT(A2,"MMM")))</f>
        <v>OCT</v>
      </c>
      <c r="J2" t="str">
        <f ca="1">MID(CELL("FILENAME",N32),FIND("[",CELL("FILENAME",N32))+1,FIND("]",CELL("FILENAME",N32))-FIND("[",CELL("FILENAME",N32))-1)</f>
        <v>RPT_SeguimientoVTAS_TAT_MENSAJE_JEFATURA.xlsm</v>
      </c>
      <c r="K2" s="6">
        <v>44340</v>
      </c>
      <c r="L2" t="str">
        <f ca="1">UPPER(TEXT(A2,"mmmm"))</f>
        <v>OCTUBRE</v>
      </c>
    </row>
    <row r="3" spans="1:12" x14ac:dyDescent="0.35">
      <c r="A3" s="45"/>
      <c r="B3" s="44"/>
      <c r="C3" s="44"/>
      <c r="D3" s="45"/>
      <c r="E3" s="45"/>
      <c r="K3" s="6">
        <v>44785</v>
      </c>
      <c r="L3" t="s">
        <v>59</v>
      </c>
    </row>
    <row r="4" spans="1:12" x14ac:dyDescent="0.35">
      <c r="K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DetalleArticulos</vt:lpstr>
      <vt:lpstr>ReporteGeneral</vt:lpstr>
      <vt:lpstr>DetalleVendedores</vt:lpstr>
      <vt:lpstr>DetalleMarca</vt:lpstr>
      <vt:lpstr>TipoDocumento</vt:lpstr>
      <vt:lpstr>EstructuraTAT</vt:lpstr>
      <vt:lpstr>Contenido</vt:lpstr>
      <vt:lpstr>GrupoArticulo</vt:lpstr>
      <vt:lpstr>Vendedores</vt:lpstr>
      <vt:lpstr>Fechas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Montalvo Romero</dc:creator>
  <cp:lastModifiedBy>Byron Avalos</cp:lastModifiedBy>
  <dcterms:created xsi:type="dcterms:W3CDTF">2021-01-26T22:13:43Z</dcterms:created>
  <dcterms:modified xsi:type="dcterms:W3CDTF">2022-10-17T16:26:56Z</dcterms:modified>
</cp:coreProperties>
</file>